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475C62BA-542F-4EB2-8100-EA85907B1813}" xr6:coauthVersionLast="47" xr6:coauthVersionMax="47" xr10:uidLastSave="{00000000-0000-0000-0000-000000000000}"/>
  <bookViews>
    <workbookView xWindow="-120" yWindow="-120" windowWidth="20730" windowHeight="1116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8" i="20" l="1"/>
  <c r="C24" i="20"/>
  <c r="C25" i="20"/>
  <c r="C26" i="20"/>
  <c r="C27" i="20"/>
  <c r="C29" i="20"/>
  <c r="C30" i="20"/>
  <c r="C31" i="20"/>
  <c r="C32" i="20"/>
  <c r="C33" i="20"/>
  <c r="C34" i="20"/>
  <c r="C35" i="20"/>
  <c r="C23" i="20"/>
  <c r="C22" i="19" l="1" a="1"/>
  <c r="C22" i="19" s="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D28" i="18" s="1"/>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 r="H41" i="1"/>
  <c r="B30" i="18" l="1"/>
  <c r="C29" i="18"/>
  <c r="F30" i="18"/>
  <c r="E28" i="18"/>
  <c r="C28" i="18"/>
  <c r="E30" i="18"/>
  <c r="B29" i="18"/>
  <c r="D30" i="18"/>
  <c r="F29" i="18"/>
  <c r="C30" i="18"/>
  <c r="E29" i="18"/>
  <c r="B28" i="18"/>
  <c r="D29" i="18"/>
  <c r="F28" i="18"/>
  <c r="A13" i="16"/>
  <c r="A13" i="16"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<sst xmlns="http://schemas.openxmlformats.org/spreadsheetml/2006/main" count="331" uniqueCount="186">
  <si>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</si>
  <si>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</si>
  <si>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</si>
  <si>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</si>
  <si>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</si>
  <si>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</si>
  <si>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</si>
  <si>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</si>
  <si>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</si>
  <si>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</si>
  <si>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</si>
  <si>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</si>
  <si>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</si>
  <si>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</si>
  <si>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</si>
  <si>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</si>
  <si>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</si>
  <si>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</si>
  <si>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</si>
  <si>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</si>
  <si>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</si>
  <si>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</si>
  <si>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</si>
  <si>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</si>
  <si>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</si>
  <si>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</si>
  <si>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</si>
  <si>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</si>
  <si>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</si>
  <si>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</si>
  <si>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</si>
  <si>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</si>
  <si>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</si>
  <si>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</si>
  <si>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</si>
  <si>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</si>
  <si>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</si>
  <si>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</si>
  <si>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</si>
  <si>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</si>
  <si>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</si>
  <si>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</si>
  <si>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</si>
  <si>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</si>
  <si>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</si>
  <si>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</si>
  <si>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</si>
  <si>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</si>
  <si>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</si>
  <si>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</si>
  <si>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</si>
  <si>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</si>
  <si>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</si>
  <si>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</si>
  <si>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</si>
  <si>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</si>
  <si>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</si>
  <si>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</si>
  <si>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</si>
  <si>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</si>
  <si>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</si>
  <si>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</si>
  <si>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</si>
  <si>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</si>
  <si>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</si>
  <si>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</si>
  <si>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</si>
  <si>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</si>
  <si>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</si>
  <si>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</si>
  <si>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</si>
  <si>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</si>
  <si>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</si>
  <si>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</si>
  <si>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</si>
  <si>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</si>
  <si>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</si>
  <si>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</si>
  <si>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</si>
  <si>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</si>
  <si>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</si>
  <si>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</si>
  <si>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</si>
  <si>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</si>
  <si>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</si>
  <si>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</si>
  <si>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</si>
  <si>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</si>
  <si>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</si>
  <si>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</si>
  <si>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</si>
  <si>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</si>
  <si>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</si>
  <si>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</si>
  <si>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</si>
  <si>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</si>
  <si>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</si>
  <si>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</si>
  <si>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</si>
  <si>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</si>
  <si>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</si>
  <si>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</si>
  <si>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</si>
  <si>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</si>
  <si>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</si>
  <si>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</si>
  <si>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</si>
  <si>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</si>
  <si>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</si>
  <si>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</si>
  <si>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</si>
  <si>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</si>
  <si>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</si>
  <si>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</si>
  <si>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</si>
  <si>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</si>
  <si>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</si>
  <si>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</si>
  <si>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</si>
  <si>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</si>
  <si>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</si>
  <si>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</si>
  <si>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</si>
  <si>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</si>
  <si>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</si>
  <si>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</si>
  <si>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</si>
  <si>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</si>
  <si>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</si>
  <si>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</si>
  <si>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</si>
  <si>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</si>
  <si>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</si>
  <si>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</si>
  <si>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</si>
  <si>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</si>
  <si>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</si>
  <si>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</si>
  <si>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</si>
  <si>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</si>
  <si>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</si>
  <si>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</si>
  <si>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</si>
  <si>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</si>
  <si>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</si>
  <si>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</si>
  <si>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</si>
  <si>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</si>
  <si>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</si>
  <si>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</si>
  <si>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</si>
  <si>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</si>
  <si>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</si>
  <si>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</si>
  <si>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</si>
  <si>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</si>
  <si>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</si>
  <si>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</si>
  <si>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</si>
  <si>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</si>
  <si>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</si>
  <si>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</si>
  <si>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</si>
  <si>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</si>
  <si>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</si>
  <si>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</si>
  <si>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</si>
  <si>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</si>
  <si>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</si>
  <si>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</si>
  <si>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</si>
  <si>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</si>
  <si>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</si>
  <si>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</si>
  <si>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</si>
  <si>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</si>
  <si>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I did conditional formatting here according to assigned values</t>
  </si>
  <si>
    <t>Views&gt;Freeze Panes&gt;Freeze Top row</t>
  </si>
  <si>
    <t>SUMIFS(H2:H40, H2:H40, "&gt;20")</t>
  </si>
  <si>
    <t>TEXT(X2, "YYYY-MM-DD")</t>
  </si>
  <si>
    <t>TRIM(MID(SUBSTITUTE(A16, "-", REPT(" ", LEN(A16))), 1, LEN(A16)))</t>
  </si>
  <si>
    <t>1.SUBSTITUTE(A16, "-", REPT(" ", LEN(A16))): This part of the formula replaces each hyphen ("-") in the original value in cell A16 with spaces. The REPT(" ", LEN(A16)) generates a string of spaces with the same length as the original value, effectively replacing each hyphen with a space.
2.MID(..., 1, LEN(A16)): This extracts a substring from the modified string starting from the first character and spanning the entire length of the original value. This effectively gives you the entire modified string.
3.TRIM(...): This removes any leading or trailing spaces from the extracted substring. This step is useful because the SUBSTITUTE operation might introduce extra spaces, and TRIM ensures that those are removed.
The overall purpose of this formula is to take a hyphen-separated string in cell A16, replace the hyphens with spaces, and then extract the entire modified string without leading or trailing spaces. This effectively isolates the first part of the original hyphen-separated string, which represents col_1 in  table.</t>
  </si>
  <si>
    <t>SUM(IF(ISERROR(C12:C21), 20, C12:C21))</t>
  </si>
  <si>
    <t xml:space="preserve">1.ISERROR(C12:C21): This part checks each cell in the range C12:C21 for errors, including the #N/A error.
2.IF(ISERROR(C12:C21), 20, C12:C21): The IF function is used to create a new array. For each cell in C12:C21, it checks if there's an error. If there is an error (such as #N/A), it replaces that error with the value 20. If there is no error, it keeps the original value.
3.SUM(IF(ISERROR(C12:C21), 20, C12:C21)): Finally, the SUM function adds up all the values in the array created by the IF function. This sum includes the original </t>
  </si>
  <si>
    <t>INDEX($B$10:$J$18,MATCH(A28,$M$10:$M$18,0),MATCH(B28,$M$10:$M$18,0))</t>
  </si>
  <si>
    <t>MATCH(A28, $M$10:$M$18, 0) gives the row number corresponding to the name in cell A28 in Table_A.
MATCH(B28, $M$10:$M$18, 0) gives the column number corresponding to the name in cell B28 in Table_A.
INDEX($B$10:$J$18, ..., ...) then uses these row and column numbers to retrieve the value at the intersection of the specified row and column in Table_A.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</si>
</sst>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dd/mm/yyyy"/>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1"/>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66"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15" fillId="0" borderId="0" xfId="0" applyFont="1" applyAlignment="1">
      <alignment wrapText="1"/>
    </xf>
    <xf numFmtId="0" fontId="3" fillId="0" borderId="0" xfId="0" applyFont="1" applyAlignment="1">
      <alignment wrapText="1"/>
    </xf>
    <xf numFmtId="164" fontId="18"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9">
    <dxf>
      <font>
        <b val="0"/>
        <i val="0"/>
        <color theme="9" tint="0.39994506668294322"/>
      </font>
    </dxf>
    <dxf>
      <font>
        <b val="0"/>
        <i val="0"/>
        <color rgb="FFFF0000"/>
      </font>
    </dxf>
    <dxf>
      <font>
        <b val="0"/>
        <i val="0"/>
        <color rgb="FFFF0000"/>
      </font>
    </dxf>
    <dxf>
      <font>
        <color rgb="FFFF0000"/>
      </font>
      <fill>
        <patternFill>
          <bgColor rgb="FFFF0000"/>
        </patternFill>
      </fill>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8"/>
      <tableStyleElement type="headerRow"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20" sqref="A20"/>
    </sheetView>
  </sheetViews>
  <sheetFormatPr defaultColWidth="11" defaultRowHeight="12.75" x14ac:dyDescent="0.2"/>
  <cols>
    <col min="1" max="1" width="70.83203125" style="2" bestFit="1" customWidth="1"/>
    <col min="2" max="16384" width="11" style="2"/>
  </cols>
  <sheetData>
    <row r="1" spans="1:3" ht="18.75" x14ac:dyDescent="0.3">
      <c r="A1" s="39" t="s">
        <v>107</v>
      </c>
    </row>
    <row r="2" spans="1:3" x14ac:dyDescent="0.2">
      <c r="A2" s="2" t="s">
        <v>108</v>
      </c>
    </row>
    <row r="3" spans="1:3" x14ac:dyDescent="0.2">
      <c r="A3" s="2" t="s">
        <v>109</v>
      </c>
    </row>
    <row r="4" spans="1:3" ht="15" x14ac:dyDescent="0.25">
      <c r="A4" s="2" t="s">
        <v>110</v>
      </c>
      <c r="C4" s="1"/>
    </row>
    <row r="5" spans="1:3" x14ac:dyDescent="0.2">
      <c r="A5" s="2" t="s">
        <v>151</v>
      </c>
    </row>
    <row r="8" spans="1:3" x14ac:dyDescent="0.2">
      <c r="A8" s="2" t="s">
        <v>172</v>
      </c>
    </row>
    <row r="9" spans="1:3" x14ac:dyDescent="0.2">
      <c r="A9" s="36" t="s">
        <v>170</v>
      </c>
      <c r="B9" s="25" t="s">
        <v>168</v>
      </c>
    </row>
    <row r="10" spans="1:3" x14ac:dyDescent="0.2">
      <c r="A10" s="35" t="s">
        <v>171</v>
      </c>
      <c r="B10" s="37">
        <v>25</v>
      </c>
    </row>
    <row r="11" spans="1:3" x14ac:dyDescent="0.2">
      <c r="A11" s="35" t="s">
        <v>54</v>
      </c>
      <c r="B11" s="37">
        <v>30</v>
      </c>
    </row>
    <row r="12" spans="1:3" x14ac:dyDescent="0.2">
      <c r="A12" s="35" t="s">
        <v>55</v>
      </c>
      <c r="B12" s="37">
        <v>10</v>
      </c>
    </row>
    <row r="13" spans="1:3" x14ac:dyDescent="0.2">
      <c r="A13" s="35" t="s">
        <v>84</v>
      </c>
      <c r="B13" s="37">
        <v>20</v>
      </c>
    </row>
    <row r="14" spans="1:3" x14ac:dyDescent="0.2">
      <c r="A14" s="35" t="s">
        <v>97</v>
      </c>
      <c r="B14" s="37">
        <v>40</v>
      </c>
    </row>
    <row r="15" spans="1:3" x14ac:dyDescent="0.2">
      <c r="A15" s="38"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1"/>
  <sheetViews>
    <sheetView zoomScaleNormal="100" workbookViewId="0">
      <pane ySplit="1" topLeftCell="A2" activePane="bottomLeft" state="frozen"/>
      <selection pane="bottomLeft" activeCell="D7" sqref="D7"/>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3" customWidth="1"/>
    <col min="5" max="5" width="9.1640625" style="1" bestFit="1" customWidth="1"/>
    <col min="6" max="6" width="10.33203125" style="23"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1" bestFit="1" customWidth="1"/>
    <col min="25" max="16384" width="9" style="1"/>
  </cols>
  <sheetData>
    <row r="1" spans="1:25" s="3" customFormat="1" ht="14.85" customHeight="1" x14ac:dyDescent="0.25">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3" t="s">
        <v>104</v>
      </c>
    </row>
    <row r="2" spans="1:25" x14ac:dyDescent="0.25">
      <c r="A2" s="1" t="s">
        <v>40</v>
      </c>
      <c r="B2" s="1">
        <v>20000</v>
      </c>
      <c r="C2" s="1" t="s">
        <v>5</v>
      </c>
      <c r="D2" s="47">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6">
        <v>45051</v>
      </c>
      <c r="Y2" s="1" t="str">
        <f>TEXT(X2, "YYYY-MM-DD")</f>
        <v>2023-05-05</v>
      </c>
    </row>
    <row r="3" spans="1:25" x14ac:dyDescent="0.2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6">
        <v>45052</v>
      </c>
      <c r="Y3" s="1" t="str">
        <f>TEXT(X3, "YYYY-MM-DD")</f>
        <v>2023-05-06</v>
      </c>
    </row>
    <row r="4" spans="1:25" x14ac:dyDescent="0.2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6">
        <v>45053</v>
      </c>
      <c r="Y4" s="1" t="str">
        <f t="shared" ref="Y3:Y40" si="0">TEXT(X4, "YYYY-MM-DD")</f>
        <v>2023-05-07</v>
      </c>
    </row>
    <row r="5" spans="1:25" x14ac:dyDescent="0.2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6">
        <v>45054</v>
      </c>
      <c r="Y5" s="1" t="str">
        <f t="shared" si="0"/>
        <v>2023-05-08</v>
      </c>
    </row>
    <row r="6" spans="1:25" x14ac:dyDescent="0.2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6">
        <v>45055</v>
      </c>
      <c r="Y6" s="1" t="str">
        <f t="shared" si="0"/>
        <v>2023-05-09</v>
      </c>
    </row>
    <row r="7" spans="1:25" x14ac:dyDescent="0.2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6">
        <v>45056</v>
      </c>
      <c r="Y7" s="1" t="str">
        <f t="shared" si="0"/>
        <v>2023-05-10</v>
      </c>
    </row>
    <row r="8" spans="1:25" x14ac:dyDescent="0.2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6">
        <v>45057</v>
      </c>
      <c r="Y8" s="1" t="str">
        <f t="shared" si="0"/>
        <v>2023-05-11</v>
      </c>
    </row>
    <row r="9" spans="1:25" x14ac:dyDescent="0.2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6">
        <v>45058</v>
      </c>
      <c r="Y9" s="1" t="str">
        <f t="shared" si="0"/>
        <v>2023-05-12</v>
      </c>
    </row>
    <row r="10" spans="1:25" x14ac:dyDescent="0.2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6">
        <v>45059</v>
      </c>
      <c r="Y10" s="1" t="str">
        <f t="shared" si="0"/>
        <v>2023-05-13</v>
      </c>
    </row>
    <row r="11" spans="1:25" x14ac:dyDescent="0.2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6">
        <v>45060</v>
      </c>
      <c r="Y11" s="1" t="str">
        <f t="shared" si="0"/>
        <v>2023-05-14</v>
      </c>
    </row>
    <row r="12" spans="1:25" x14ac:dyDescent="0.2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6">
        <v>45061</v>
      </c>
      <c r="Y12" s="1" t="str">
        <f t="shared" si="0"/>
        <v>2023-05-15</v>
      </c>
    </row>
    <row r="13" spans="1:25" x14ac:dyDescent="0.2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6">
        <v>45062</v>
      </c>
      <c r="Y13" s="1" t="str">
        <f t="shared" si="0"/>
        <v>2023-05-16</v>
      </c>
    </row>
    <row r="14" spans="1:25" x14ac:dyDescent="0.2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6">
        <v>45063</v>
      </c>
      <c r="Y14" s="1" t="str">
        <f t="shared" si="0"/>
        <v>2023-05-17</v>
      </c>
    </row>
    <row r="15" spans="1:25" x14ac:dyDescent="0.2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6">
        <v>45064</v>
      </c>
      <c r="Y15" s="1" t="str">
        <f t="shared" si="0"/>
        <v>2023-05-18</v>
      </c>
    </row>
    <row r="16" spans="1:25" x14ac:dyDescent="0.2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6">
        <v>45065</v>
      </c>
      <c r="Y16" s="1" t="str">
        <f t="shared" si="0"/>
        <v>2023-05-19</v>
      </c>
    </row>
    <row r="17" spans="1:25" x14ac:dyDescent="0.2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6">
        <v>45066</v>
      </c>
      <c r="Y17" s="1" t="str">
        <f t="shared" si="0"/>
        <v>2023-05-20</v>
      </c>
    </row>
    <row r="18" spans="1:25" x14ac:dyDescent="0.2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6">
        <v>45067</v>
      </c>
      <c r="Y18" s="1" t="str">
        <f t="shared" si="0"/>
        <v>2023-05-21</v>
      </c>
    </row>
    <row r="19" spans="1:25" x14ac:dyDescent="0.2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6">
        <v>45068</v>
      </c>
      <c r="Y19" s="1" t="str">
        <f t="shared" si="0"/>
        <v>2023-05-22</v>
      </c>
    </row>
    <row r="20" spans="1:25" x14ac:dyDescent="0.2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6">
        <v>45069</v>
      </c>
      <c r="Y20" s="1" t="str">
        <f t="shared" si="0"/>
        <v>2023-05-23</v>
      </c>
    </row>
    <row r="21" spans="1:25" x14ac:dyDescent="0.2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6">
        <v>45070</v>
      </c>
      <c r="Y21" s="1" t="str">
        <f t="shared" si="0"/>
        <v>2023-05-24</v>
      </c>
    </row>
    <row r="22" spans="1:25" x14ac:dyDescent="0.2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6">
        <v>45071</v>
      </c>
      <c r="Y22" s="1" t="str">
        <f t="shared" si="0"/>
        <v>2023-05-25</v>
      </c>
    </row>
    <row r="23" spans="1:25" x14ac:dyDescent="0.2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6">
        <v>45072</v>
      </c>
      <c r="Y23" s="1" t="str">
        <f t="shared" si="0"/>
        <v>2023-05-26</v>
      </c>
    </row>
    <row r="24" spans="1:25" x14ac:dyDescent="0.2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6">
        <v>45073</v>
      </c>
      <c r="Y24" s="1" t="str">
        <f t="shared" si="0"/>
        <v>2023-05-27</v>
      </c>
    </row>
    <row r="25" spans="1:25" x14ac:dyDescent="0.2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6">
        <v>45074</v>
      </c>
      <c r="Y25" s="1" t="str">
        <f t="shared" si="0"/>
        <v>2023-05-28</v>
      </c>
    </row>
    <row r="26" spans="1:25" x14ac:dyDescent="0.2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6">
        <v>45075</v>
      </c>
      <c r="Y26" s="1" t="str">
        <f t="shared" si="0"/>
        <v>2023-05-29</v>
      </c>
    </row>
    <row r="27" spans="1:25" x14ac:dyDescent="0.25">
      <c r="A27" s="1" t="s">
        <v>56</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6">
        <v>45076</v>
      </c>
      <c r="Y27" s="1" t="str">
        <f t="shared" si="0"/>
        <v>2023-05-30</v>
      </c>
    </row>
    <row r="28" spans="1:25" x14ac:dyDescent="0.2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6">
        <v>45077</v>
      </c>
      <c r="Y28" s="1" t="str">
        <f t="shared" si="0"/>
        <v>2023-05-31</v>
      </c>
    </row>
    <row r="29" spans="1:25" x14ac:dyDescent="0.2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6">
        <v>45078</v>
      </c>
      <c r="Y29" s="1" t="str">
        <f t="shared" si="0"/>
        <v>2023-06-01</v>
      </c>
    </row>
    <row r="30" spans="1:25" x14ac:dyDescent="0.25">
      <c r="A30" s="1" t="s">
        <v>57</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6">
        <v>45079</v>
      </c>
      <c r="Y30" s="1" t="str">
        <f t="shared" si="0"/>
        <v>2023-06-02</v>
      </c>
    </row>
    <row r="31" spans="1:25" x14ac:dyDescent="0.2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6">
        <v>45080</v>
      </c>
      <c r="Y31" s="1" t="str">
        <f t="shared" si="0"/>
        <v>2023-06-03</v>
      </c>
    </row>
    <row r="32" spans="1:25" x14ac:dyDescent="0.2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6">
        <v>45081</v>
      </c>
      <c r="Y32" s="1" t="str">
        <f t="shared" si="0"/>
        <v>2023-06-04</v>
      </c>
    </row>
    <row r="33" spans="1:25" x14ac:dyDescent="0.2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6">
        <v>45082</v>
      </c>
      <c r="Y33" s="1" t="str">
        <f t="shared" si="0"/>
        <v>2023-06-05</v>
      </c>
    </row>
    <row r="34" spans="1:25" x14ac:dyDescent="0.2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6">
        <v>45083</v>
      </c>
      <c r="Y34" s="1" t="str">
        <f t="shared" si="0"/>
        <v>2023-06-06</v>
      </c>
    </row>
    <row r="35" spans="1:25" x14ac:dyDescent="0.2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6">
        <v>45084</v>
      </c>
      <c r="Y35" s="1" t="str">
        <f t="shared" si="0"/>
        <v>2023-06-07</v>
      </c>
    </row>
    <row r="36" spans="1:25" x14ac:dyDescent="0.2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6">
        <v>45085</v>
      </c>
      <c r="Y36" s="1" t="str">
        <f t="shared" si="0"/>
        <v>2023-06-08</v>
      </c>
    </row>
    <row r="37" spans="1:25" x14ac:dyDescent="0.2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6">
        <v>45086</v>
      </c>
      <c r="Y37" s="1" t="str">
        <f t="shared" si="0"/>
        <v>2023-06-09</v>
      </c>
    </row>
    <row r="38" spans="1:25" x14ac:dyDescent="0.2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6">
        <v>45087</v>
      </c>
      <c r="Y38" s="1" t="str">
        <f t="shared" si="0"/>
        <v>2023-06-10</v>
      </c>
    </row>
    <row r="39" spans="1:25" x14ac:dyDescent="0.2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6">
        <v>45088</v>
      </c>
      <c r="Y39" s="1" t="str">
        <f t="shared" si="0"/>
        <v>2023-06-11</v>
      </c>
    </row>
    <row r="40" spans="1:25" x14ac:dyDescent="0.2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6">
        <v>45089</v>
      </c>
      <c r="Y40" s="1" t="str">
        <f t="shared" si="0"/>
        <v>2023-06-12</v>
      </c>
    </row>
    <row r="41" spans="1:25" x14ac:dyDescent="0.25">
      <c r="H41" s="1">
        <f>SUMIFS(H2:H40, H2:H40, "&gt;20")</f>
        <v>1473.0000000000002</v>
      </c>
    </row>
  </sheetData>
  <conditionalFormatting sqref="A1:A1048576">
    <cfRule type="duplicateValues" dxfId="6" priority="6"/>
  </conditionalFormatting>
  <conditionalFormatting sqref="B1:B1048576">
    <cfRule type="duplicateValues" dxfId="5" priority="5"/>
  </conditionalFormatting>
  <conditionalFormatting sqref="A1">
    <cfRule type="cellIs" dxfId="4" priority="4" operator="equal">
      <formula>-1</formula>
    </cfRule>
  </conditionalFormatting>
  <conditionalFormatting sqref="L5">
    <cfRule type="cellIs" dxfId="2" priority="3" operator="equal">
      <formula>-1</formula>
    </cfRule>
  </conditionalFormatting>
  <conditionalFormatting sqref="A1:X40">
    <cfRule type="cellIs" dxfId="1" priority="2" operator="equal">
      <formula>-1</formula>
    </cfRule>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10" sqref="B10"/>
    </sheetView>
  </sheetViews>
  <sheetFormatPr defaultColWidth="11" defaultRowHeight="15" x14ac:dyDescent="0.25"/>
  <cols>
    <col min="1" max="1" width="8.33203125" style="1" bestFit="1" customWidth="1"/>
    <col min="2" max="2" width="75.33203125" style="1" customWidth="1"/>
    <col min="3" max="3" width="39" style="1" customWidth="1"/>
    <col min="4" max="4" width="11" style="1"/>
    <col min="5" max="5" width="14.33203125" style="1" bestFit="1" customWidth="1"/>
    <col min="6" max="16384" width="11" style="1"/>
  </cols>
  <sheetData>
    <row r="1" spans="1:5" x14ac:dyDescent="0.25">
      <c r="A1" s="4" t="s">
        <v>46</v>
      </c>
      <c r="B1" s="4" t="s">
        <v>47</v>
      </c>
      <c r="C1" s="4" t="s">
        <v>44</v>
      </c>
      <c r="E1" s="4" t="s">
        <v>175</v>
      </c>
    </row>
    <row r="2" spans="1:5" x14ac:dyDescent="0.25">
      <c r="A2" s="2"/>
      <c r="B2" s="5" t="s">
        <v>159</v>
      </c>
      <c r="C2" s="2"/>
    </row>
    <row r="3" spans="1:5" x14ac:dyDescent="0.25">
      <c r="A3" s="6">
        <v>1</v>
      </c>
      <c r="B3" s="2" t="s">
        <v>106</v>
      </c>
      <c r="C3" s="2" t="s">
        <v>176</v>
      </c>
      <c r="E3" s="1">
        <v>5</v>
      </c>
    </row>
    <row r="4" spans="1:5" x14ac:dyDescent="0.25">
      <c r="A4" s="6">
        <v>2</v>
      </c>
      <c r="B4" s="2" t="s">
        <v>45</v>
      </c>
      <c r="C4" s="2" t="s">
        <v>177</v>
      </c>
      <c r="E4" s="1">
        <v>5</v>
      </c>
    </row>
    <row r="5" spans="1:5" x14ac:dyDescent="0.25">
      <c r="A5" s="6">
        <v>3</v>
      </c>
      <c r="B5" s="2" t="s">
        <v>103</v>
      </c>
      <c r="C5" s="34" t="s">
        <v>178</v>
      </c>
      <c r="E5" s="1">
        <v>10</v>
      </c>
    </row>
    <row r="6" spans="1:5" x14ac:dyDescent="0.25">
      <c r="A6" s="6">
        <v>4</v>
      </c>
      <c r="B6" s="2" t="s">
        <v>105</v>
      </c>
      <c r="C6" s="2" t="s">
        <v>179</v>
      </c>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6" zoomScale="70" zoomScaleNormal="70" workbookViewId="0">
      <selection activeCell="L19" sqref="L19"/>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41" customFormat="1" ht="21" x14ac:dyDescent="0.35">
      <c r="A1" s="42" t="s">
        <v>54</v>
      </c>
      <c r="B1" s="41" t="s">
        <v>163</v>
      </c>
    </row>
    <row r="2" spans="1:7" s="41" customFormat="1" ht="21" x14ac:dyDescent="0.35">
      <c r="B2" s="41" t="s">
        <v>160</v>
      </c>
    </row>
    <row r="3" spans="1:7" ht="15" x14ac:dyDescent="0.25">
      <c r="A3" s="1"/>
      <c r="B3" s="1"/>
      <c r="C3" s="1"/>
      <c r="D3" s="1"/>
      <c r="E3" s="1"/>
      <c r="F3" s="1"/>
      <c r="G3" s="1"/>
    </row>
    <row r="4" spans="1:7" ht="23.25" x14ac:dyDescent="0.35">
      <c r="A4" s="17" t="s">
        <v>161</v>
      </c>
      <c r="B4" s="1"/>
      <c r="C4" s="1"/>
      <c r="D4" s="1"/>
      <c r="E4" s="1"/>
      <c r="F4" s="1"/>
      <c r="G4" s="1"/>
    </row>
    <row r="5" spans="1:7" ht="15" x14ac:dyDescent="0.25">
      <c r="A5" s="19" t="s">
        <v>63</v>
      </c>
      <c r="B5" s="20" t="s">
        <v>78</v>
      </c>
      <c r="C5" s="21" t="s">
        <v>70</v>
      </c>
      <c r="D5" s="20" t="s">
        <v>74</v>
      </c>
      <c r="E5" s="21" t="s">
        <v>75</v>
      </c>
      <c r="F5" s="22" t="s">
        <v>76</v>
      </c>
    </row>
    <row r="6" spans="1:7" ht="15" x14ac:dyDescent="0.25">
      <c r="A6" s="7" t="s">
        <v>40</v>
      </c>
      <c r="B6" s="11">
        <f>IFERROR(VLOOKUP(A6, Dataset!A:G, 7, FALSE), "")</f>
        <v>2.7</v>
      </c>
      <c r="C6" s="11">
        <f>IFERROR(VLOOKUP(A6, Dataset!A:N, 14, FALSE), "")</f>
        <v>7.6</v>
      </c>
      <c r="D6" s="11">
        <f>IFERROR(VLOOKUP(A6, Dataset!A:R, 18, FALSE), "")</f>
        <v>4.2</v>
      </c>
      <c r="E6" s="11">
        <f>IFERROR(VLOOKUP(A6, Dataset!A:T, 20, FALSE), "")</f>
        <v>8.9</v>
      </c>
      <c r="F6" s="8">
        <f>IFERROR(VLOOKUP(A6, Dataset!A:V, 22, FALSE), "")</f>
        <v>4.2</v>
      </c>
    </row>
    <row r="7" spans="1:7" ht="15" x14ac:dyDescent="0.25">
      <c r="A7" s="7" t="s">
        <v>4</v>
      </c>
      <c r="B7" s="11">
        <f>IFERROR(VLOOKUP(A7, Dataset!A:G, 7, FALSE), "")</f>
        <v>2.7</v>
      </c>
      <c r="C7" s="11">
        <f>IFERROR(VLOOKUP(A7, Dataset!A:N, 14, FALSE), "")</f>
        <v>7.6</v>
      </c>
      <c r="D7" s="11">
        <f>IFERROR(VLOOKUP(A7, Dataset!A:R, 18, FALSE), "")</f>
        <v>4.2</v>
      </c>
      <c r="E7" s="11">
        <f>IFERROR(VLOOKUP(A7, Dataset!A:T, 20, FALSE), "")</f>
        <v>8.9</v>
      </c>
      <c r="F7" s="8">
        <f>IFERROR(VLOOKUP(A7, Dataset!A:V, 22, FALSE), "")</f>
        <v>4.2</v>
      </c>
    </row>
    <row r="8" spans="1:7" ht="15" x14ac:dyDescent="0.25">
      <c r="A8" s="7" t="s">
        <v>7</v>
      </c>
      <c r="B8" s="11">
        <f>IFERROR(VLOOKUP(A8, Dataset!A:G, 7, FALSE), "")</f>
        <v>3.6</v>
      </c>
      <c r="C8" s="11">
        <f>IFERROR(VLOOKUP(A8, Dataset!A:N, 14, FALSE), "")</f>
        <v>11.1</v>
      </c>
      <c r="D8" s="11">
        <f>IFERROR(VLOOKUP(A8, Dataset!A:R, 18, FALSE), "")</f>
        <v>5.8</v>
      </c>
      <c r="E8" s="11">
        <f>IFERROR(VLOOKUP(A8, Dataset!A:T, 20, FALSE), "")</f>
        <v>12.2</v>
      </c>
      <c r="F8" s="8">
        <f>IFERROR(VLOOKUP(A8, Dataset!A:V, 22, FALSE), "")</f>
        <v>5.8</v>
      </c>
    </row>
    <row r="9" spans="1:7" ht="15" x14ac:dyDescent="0.25">
      <c r="A9" s="7" t="s">
        <v>8</v>
      </c>
      <c r="B9" s="11">
        <f>IFERROR(VLOOKUP(A9, Dataset!A:G, 7, FALSE), "")</f>
        <v>4.9000000000000004</v>
      </c>
      <c r="C9" s="11">
        <f>IFERROR(VLOOKUP(A9, Dataset!A:N, 14, FALSE), "")</f>
        <v>13.3</v>
      </c>
      <c r="D9" s="11">
        <f>IFERROR(VLOOKUP(A9, Dataset!A:R, 18, FALSE), "")</f>
        <v>8.1</v>
      </c>
      <c r="E9" s="11">
        <f>IFERROR(VLOOKUP(A9, Dataset!A:T, 20, FALSE), "")</f>
        <v>17</v>
      </c>
      <c r="F9" s="8">
        <f>IFERROR(VLOOKUP(A9, Dataset!A:V, 22, FALSE), "")</f>
        <v>8.1</v>
      </c>
    </row>
    <row r="10" spans="1:7" ht="15" x14ac:dyDescent="0.25">
      <c r="A10" s="7" t="s">
        <v>11</v>
      </c>
      <c r="B10" s="11">
        <f>IFERROR(VLOOKUP(A10, Dataset!A:G, 7, FALSE), "")</f>
        <v>9.4</v>
      </c>
      <c r="C10" s="11">
        <f>IFERROR(VLOOKUP(A10, Dataset!A:N, 14, FALSE), "")</f>
        <v>28.3</v>
      </c>
      <c r="D10" s="11">
        <f>IFERROR(VLOOKUP(A10, Dataset!A:R, 18, FALSE), "")</f>
        <v>16.100000000000001</v>
      </c>
      <c r="E10" s="11">
        <f>IFERROR(VLOOKUP(A10, Dataset!A:T, 20, FALSE), "")</f>
        <v>32.799999999999997</v>
      </c>
      <c r="F10" s="8">
        <f>IFERROR(VLOOKUP(A10, Dataset!A:V, 22, FALSE), "")</f>
        <v>16.100000000000001</v>
      </c>
    </row>
    <row r="11" spans="1:7" ht="15" x14ac:dyDescent="0.25">
      <c r="A11" s="7" t="s">
        <v>12</v>
      </c>
      <c r="B11" s="11">
        <f>IFERROR(VLOOKUP(A11, Dataset!A:G, 7, FALSE), "")</f>
        <v>11.6</v>
      </c>
      <c r="C11" s="11">
        <f>IFERROR(VLOOKUP(A11, Dataset!A:N, 14, FALSE), "")</f>
        <v>35.200000000000003</v>
      </c>
      <c r="D11" s="11">
        <f>IFERROR(VLOOKUP(A11, Dataset!A:R, 18, FALSE), "")</f>
        <v>21.3</v>
      </c>
      <c r="E11" s="11">
        <f>IFERROR(VLOOKUP(A11, Dataset!A:T, 20, FALSE), "")</f>
        <v>43</v>
      </c>
      <c r="F11" s="8">
        <f>IFERROR(VLOOKUP(A11, Dataset!A:V, 22, FALSE), "")</f>
        <v>21.3</v>
      </c>
    </row>
    <row r="12" spans="1:7" ht="15" x14ac:dyDescent="0.25">
      <c r="A12" s="7" t="s">
        <v>14</v>
      </c>
      <c r="B12" s="11">
        <f>IFERROR(VLOOKUP(A12, Dataset!A:G, 7, FALSE), "")</f>
        <v>18.399999999999999</v>
      </c>
      <c r="C12" s="11">
        <f>IFERROR(VLOOKUP(A12, Dataset!A:N, 14, FALSE), "")</f>
        <v>55.6</v>
      </c>
      <c r="D12" s="11">
        <f>IFERROR(VLOOKUP(A12, Dataset!A:R, 18, FALSE), "")</f>
        <v>33.799999999999997</v>
      </c>
      <c r="E12" s="11">
        <f>IFERROR(VLOOKUP(A12, Dataset!A:T, 20, FALSE), "")</f>
        <v>67.900000000000006</v>
      </c>
      <c r="F12" s="8">
        <f>IFERROR(VLOOKUP(A12, Dataset!A:V, 22, FALSE), "")</f>
        <v>33.799999999999997</v>
      </c>
    </row>
    <row r="13" spans="1:7" ht="15" x14ac:dyDescent="0.25">
      <c r="A13" s="7" t="s">
        <v>15</v>
      </c>
      <c r="B13" s="11">
        <f>IFERROR(VLOOKUP(A13, Dataset!A:G, 7, FALSE), "")</f>
        <v>0</v>
      </c>
      <c r="C13" s="11">
        <f>IFERROR(VLOOKUP(A13, Dataset!A:N, 14, FALSE), "")</f>
        <v>0</v>
      </c>
      <c r="D13" s="11">
        <f>IFERROR(VLOOKUP(A13, Dataset!A:R, 18, FALSE), "")</f>
        <v>0</v>
      </c>
      <c r="E13" s="11">
        <f>IFERROR(VLOOKUP(A13, Dataset!A:T, 20, FALSE), "")</f>
        <v>0</v>
      </c>
      <c r="F13" s="8">
        <f>IFERROR(VLOOKUP(A13, Dataset!A:V, 22, FALSE), "")</f>
        <v>0</v>
      </c>
    </row>
    <row r="14" spans="1:7" ht="15" x14ac:dyDescent="0.25">
      <c r="A14" s="7" t="s">
        <v>16</v>
      </c>
      <c r="B14" s="11">
        <f>IFERROR(VLOOKUP(A14, Dataset!A:G, 7, FALSE), "")</f>
        <v>21.9</v>
      </c>
      <c r="C14" s="11">
        <f>IFERROR(VLOOKUP(A14, Dataset!A:N, 14, FALSE), "")</f>
        <v>61.5</v>
      </c>
      <c r="D14" s="11">
        <f>IFERROR(VLOOKUP(A14, Dataset!A:R, 18, FALSE), "")</f>
        <v>40.1</v>
      </c>
      <c r="E14" s="11">
        <f>IFERROR(VLOOKUP(A14, Dataset!A:T, 20, FALSE), "")</f>
        <v>76.599999999999994</v>
      </c>
      <c r="F14" s="8">
        <f>IFERROR(VLOOKUP(A14, Dataset!A:V, 22, FALSE), "")</f>
        <v>40.1</v>
      </c>
    </row>
    <row r="15" spans="1:7" ht="15" x14ac:dyDescent="0.25">
      <c r="A15" s="7" t="s">
        <v>18</v>
      </c>
      <c r="B15" s="11">
        <f>IFERROR(VLOOKUP(A15, Dataset!A:G, 7, FALSE), "")</f>
        <v>26.8</v>
      </c>
      <c r="C15" s="11">
        <f>IFERROR(VLOOKUP(A15, Dataset!A:N, 14, FALSE), "")</f>
        <v>79.599999999999994</v>
      </c>
      <c r="D15" s="11">
        <f>IFERROR(VLOOKUP(A15, Dataset!A:R, 18, FALSE), "")</f>
        <v>47.9</v>
      </c>
      <c r="E15" s="11">
        <f>IFERROR(VLOOKUP(A15, Dataset!A:T, 20, FALSE), "")</f>
        <v>96.8</v>
      </c>
      <c r="F15" s="8">
        <f>IFERROR(VLOOKUP(A15, Dataset!A:V, 22, FALSE), "")</f>
        <v>47.9</v>
      </c>
    </row>
    <row r="16" spans="1:7" ht="15" x14ac:dyDescent="0.25">
      <c r="A16" s="7" t="s">
        <v>20</v>
      </c>
      <c r="B16" s="11">
        <f>IFERROR(VLOOKUP(A16, Dataset!A:G, 7, FALSE), "")</f>
        <v>28.5</v>
      </c>
      <c r="C16" s="11">
        <f>IFERROR(VLOOKUP(A16, Dataset!A:N, 14, FALSE), "")</f>
        <v>85.4</v>
      </c>
      <c r="D16" s="11">
        <f>IFERROR(VLOOKUP(A16, Dataset!A:R, 18, FALSE), "")</f>
        <v>52.3</v>
      </c>
      <c r="E16" s="11">
        <f>IFERROR(VLOOKUP(A16, Dataset!A:T, 20, FALSE), "")</f>
        <v>106.1</v>
      </c>
      <c r="F16" s="8">
        <f>IFERROR(VLOOKUP(A16, Dataset!A:V, 22, FALSE), "")</f>
        <v>52.3</v>
      </c>
    </row>
    <row r="17" spans="1:6" ht="15" x14ac:dyDescent="0.25">
      <c r="A17" s="7" t="s">
        <v>22</v>
      </c>
      <c r="B17" s="11">
        <f>IFERROR(VLOOKUP(A17, Dataset!A:G, 7, FALSE), "")</f>
        <v>30.7</v>
      </c>
      <c r="C17" s="11">
        <f>IFERROR(VLOOKUP(A17, Dataset!A:N, 14, FALSE), "")</f>
        <v>92.1</v>
      </c>
      <c r="D17" s="11">
        <f>IFERROR(VLOOKUP(A17, Dataset!A:R, 18, FALSE), "")</f>
        <v>57</v>
      </c>
      <c r="E17" s="11">
        <f>IFERROR(VLOOKUP(A17, Dataset!A:T, 20, FALSE), "")</f>
        <v>115.1</v>
      </c>
      <c r="F17" s="8">
        <f>IFERROR(VLOOKUP(A17, Dataset!A:V, 22, FALSE), "")</f>
        <v>57</v>
      </c>
    </row>
    <row r="18" spans="1:6" ht="15" x14ac:dyDescent="0.25">
      <c r="A18" s="7" t="s">
        <v>23</v>
      </c>
      <c r="B18" s="11">
        <f>IFERROR(VLOOKUP(A18, Dataset!A:G, 7, FALSE), "")</f>
        <v>33.799999999999997</v>
      </c>
      <c r="C18" s="11">
        <f>IFERROR(VLOOKUP(A18, Dataset!A:N, 14, FALSE), "")</f>
        <v>101.3</v>
      </c>
      <c r="D18" s="11">
        <f>IFERROR(VLOOKUP(A18, Dataset!A:R, 18, FALSE), "")</f>
        <v>61.4</v>
      </c>
      <c r="E18" s="11">
        <f>IFERROR(VLOOKUP(A18, Dataset!A:T, 20, FALSE), "")</f>
        <v>124.4</v>
      </c>
      <c r="F18" s="8">
        <f>IFERROR(VLOOKUP(A18, Dataset!A:V, 22, FALSE), "")</f>
        <v>61.4</v>
      </c>
    </row>
    <row r="19" spans="1:6" ht="15" x14ac:dyDescent="0.25">
      <c r="A19" s="7" t="s">
        <v>24</v>
      </c>
      <c r="B19" s="11">
        <f>IFERROR(VLOOKUP(A19, Dataset!A:G, 7, FALSE), "")</f>
        <v>34.700000000000003</v>
      </c>
      <c r="C19" s="11">
        <f>IFERROR(VLOOKUP(A19, Dataset!A:N, 14, FALSE), "")</f>
        <v>106.1</v>
      </c>
      <c r="D19" s="11">
        <f>IFERROR(VLOOKUP(A19, Dataset!A:R, 18, FALSE), "")</f>
        <v>63.6</v>
      </c>
      <c r="E19" s="11">
        <f>IFERROR(VLOOKUP(A19, Dataset!A:T, 20, FALSE), "")</f>
        <v>128.6</v>
      </c>
      <c r="F19" s="8">
        <f>IFERROR(VLOOKUP(A19, Dataset!A:V, 22, FALSE), "")</f>
        <v>63.6</v>
      </c>
    </row>
    <row r="20" spans="1:6" ht="15" x14ac:dyDescent="0.25">
      <c r="A20" s="7" t="s">
        <v>28</v>
      </c>
      <c r="B20" s="11">
        <f>IFERROR(VLOOKUP(A20, Dataset!A:G, 7, FALSE), "")</f>
        <v>0</v>
      </c>
      <c r="C20" s="11">
        <f>IFERROR(VLOOKUP(A20, Dataset!A:N, 14, FALSE), "")</f>
        <v>0</v>
      </c>
      <c r="D20" s="11">
        <f>IFERROR(VLOOKUP(A20, Dataset!A:R, 18, FALSE), "")</f>
        <v>0</v>
      </c>
      <c r="E20" s="11">
        <f>IFERROR(VLOOKUP(A20, Dataset!A:T, 20, FALSE), "")</f>
        <v>0</v>
      </c>
      <c r="F20" s="8">
        <f>IFERROR(VLOOKUP(A20, Dataset!A:V, 22, FALSE), "")</f>
        <v>0</v>
      </c>
    </row>
    <row r="21" spans="1:6" ht="15" x14ac:dyDescent="0.25">
      <c r="A21" s="7" t="s">
        <v>56</v>
      </c>
      <c r="B21" s="11">
        <f>IFERROR(VLOOKUP(A21, Dataset!A:G, 7, FALSE), "")</f>
        <v>41.3</v>
      </c>
      <c r="C21" s="11">
        <f>IFERROR(VLOOKUP(A21, Dataset!A:N, 14, FALSE), "")</f>
        <v>124.4</v>
      </c>
      <c r="D21" s="11">
        <f>IFERROR(VLOOKUP(A21, Dataset!A:R, 18, FALSE), "")</f>
        <v>75</v>
      </c>
      <c r="E21" s="11">
        <f>IFERROR(VLOOKUP(A21, Dataset!A:T, 20, FALSE), "")</f>
        <v>151.5</v>
      </c>
      <c r="F21" s="8">
        <f>IFERROR(VLOOKUP(A21, Dataset!A:V, 22, FALSE), "")</f>
        <v>75</v>
      </c>
    </row>
    <row r="22" spans="1:6" ht="15" x14ac:dyDescent="0.25">
      <c r="A22" s="7" t="s">
        <v>57</v>
      </c>
      <c r="B22" s="11">
        <f>IFERROR(VLOOKUP(A22, Dataset!A:G, 7, FALSE), "")</f>
        <v>-1</v>
      </c>
      <c r="C22" s="11">
        <f>IFERROR(VLOOKUP(A22, Dataset!A:N, 14, FALSE), "")</f>
        <v>-1</v>
      </c>
      <c r="D22" s="11">
        <f>IFERROR(VLOOKUP(A22, Dataset!A:R, 18, FALSE), "")</f>
        <v>-1</v>
      </c>
      <c r="E22" s="11">
        <f>IFERROR(VLOOKUP(A22, Dataset!A:T, 20, FALSE), "")</f>
        <v>-1</v>
      </c>
      <c r="F22" s="8">
        <f>IFERROR(VLOOKUP(A22, Dataset!A:V, 22, FALSE), "")</f>
        <v>-1</v>
      </c>
    </row>
    <row r="23" spans="1:6" ht="15" x14ac:dyDescent="0.25">
      <c r="A23" s="7" t="s">
        <v>31</v>
      </c>
      <c r="B23" s="11">
        <f>IFERROR(VLOOKUP(A23, Dataset!A:G, 7, FALSE), "")</f>
        <v>45</v>
      </c>
      <c r="C23" s="11">
        <f>IFERROR(VLOOKUP(A23, Dataset!A:N, 14, FALSE), "")</f>
        <v>133.4</v>
      </c>
      <c r="D23" s="11">
        <f>IFERROR(VLOOKUP(A23, Dataset!A:R, 18, FALSE), "")</f>
        <v>79.400000000000006</v>
      </c>
      <c r="E23" s="11">
        <f>IFERROR(VLOOKUP(A23, Dataset!A:T, 20, FALSE), "")</f>
        <v>160.9</v>
      </c>
      <c r="F23" s="8">
        <f>IFERROR(VLOOKUP(A23, Dataset!A:V, 22, FALSE), "")</f>
        <v>79.400000000000006</v>
      </c>
    </row>
    <row r="24" spans="1:6" ht="15" x14ac:dyDescent="0.25">
      <c r="A24" s="7" t="s">
        <v>32</v>
      </c>
      <c r="B24" s="11">
        <f>IFERROR(VLOOKUP(A24, Dataset!A:G, 7, FALSE), "")</f>
        <v>-1</v>
      </c>
      <c r="C24" s="11">
        <f>IFERROR(VLOOKUP(A24, Dataset!A:N, 14, FALSE), "")</f>
        <v>-1</v>
      </c>
      <c r="D24" s="11">
        <f>IFERROR(VLOOKUP(A24, Dataset!A:R, 18, FALSE), "")</f>
        <v>-1</v>
      </c>
      <c r="E24" s="11">
        <f>IFERROR(VLOOKUP(A24, Dataset!A:T, 20, FALSE), "")</f>
        <v>-1</v>
      </c>
      <c r="F24" s="8">
        <f>IFERROR(VLOOKUP(A24, Dataset!A:V, 22, FALSE), "")</f>
        <v>-1</v>
      </c>
    </row>
    <row r="25" spans="1:6" ht="15" x14ac:dyDescent="0.25">
      <c r="A25" s="7" t="s">
        <v>34</v>
      </c>
      <c r="B25" s="11">
        <f>IFERROR(VLOOKUP(A25, Dataset!A:G, 7, FALSE), "")</f>
        <v>43.3</v>
      </c>
      <c r="C25" s="11">
        <f>IFERROR(VLOOKUP(A25, Dataset!A:N, 14, FALSE), "")</f>
        <v>128.6</v>
      </c>
      <c r="D25" s="11">
        <f>IFERROR(VLOOKUP(A25, Dataset!A:R, 18, FALSE), "")</f>
        <v>79.400000000000006</v>
      </c>
      <c r="E25" s="11">
        <f>IFERROR(VLOOKUP(A25, Dataset!A:T, 20, FALSE), "")</f>
        <v>160.9</v>
      </c>
      <c r="F25" s="8">
        <f>IFERROR(VLOOKUP(A25, Dataset!A:V, 22, FALSE), "")</f>
        <v>79.400000000000006</v>
      </c>
    </row>
    <row r="26" spans="1:6" ht="15" x14ac:dyDescent="0.25">
      <c r="A26" s="7" t="s">
        <v>37</v>
      </c>
      <c r="B26" s="11">
        <f>IFERROR(VLOOKUP(A26, Dataset!A:G, 7, FALSE), "")</f>
        <v>49.1</v>
      </c>
      <c r="C26" s="11">
        <f>IFERROR(VLOOKUP(A26, Dataset!A:N, 14, FALSE), "")</f>
        <v>146.80000000000001</v>
      </c>
      <c r="D26" s="11">
        <f>IFERROR(VLOOKUP(A26, Dataset!A:R, 18, FALSE), "")</f>
        <v>90.9</v>
      </c>
      <c r="E26" s="11">
        <f>IFERROR(VLOOKUP(A26, Dataset!A:T, 20, FALSE), "")</f>
        <v>183.5</v>
      </c>
      <c r="F26" s="8">
        <f>IFERROR(VLOOKUP(A26, Dataset!A:V, 22, FALSE), "")</f>
        <v>90.9</v>
      </c>
    </row>
    <row r="27" spans="1:6" ht="15" x14ac:dyDescent="0.25">
      <c r="A27" s="7" t="s">
        <v>39</v>
      </c>
      <c r="B27" s="11">
        <f>IFERROR(VLOOKUP(A27, Dataset!A:G, 7, FALSE), "")</f>
        <v>51.8</v>
      </c>
      <c r="C27" s="11">
        <f>IFERROR(VLOOKUP(A27, Dataset!A:N, 14, FALSE), "")</f>
        <v>156.4</v>
      </c>
      <c r="D27" s="11">
        <f>IFERROR(VLOOKUP(A27, Dataset!A:R, 18, FALSE), "")</f>
        <v>93.1</v>
      </c>
      <c r="E27" s="11">
        <f>IFERROR(VLOOKUP(A27, Dataset!A:T, 20, FALSE), "")</f>
        <v>188.1</v>
      </c>
      <c r="F27" s="8">
        <f>IFERROR(VLOOKUP(A27, Dataset!A:V, 22, FALSE), "")</f>
        <v>93.1</v>
      </c>
    </row>
    <row r="28" spans="1:6" ht="15" x14ac:dyDescent="0.25">
      <c r="A28" s="18" t="s">
        <v>81</v>
      </c>
      <c r="B28" s="31">
        <f>MIN(B6:B27)</f>
        <v>-1</v>
      </c>
      <c r="C28" s="31">
        <f t="shared" ref="C28:F28" si="0">MIN(C6:C27)</f>
        <v>-1</v>
      </c>
      <c r="D28" s="31">
        <f t="shared" si="0"/>
        <v>-1</v>
      </c>
      <c r="E28" s="31">
        <f t="shared" si="0"/>
        <v>-1</v>
      </c>
      <c r="F28" s="31">
        <f t="shared" si="0"/>
        <v>-1</v>
      </c>
    </row>
    <row r="29" spans="1:6" ht="15" x14ac:dyDescent="0.25">
      <c r="A29" s="18" t="s">
        <v>82</v>
      </c>
      <c r="B29" s="31">
        <f>MAX(B6:B27)</f>
        <v>51.8</v>
      </c>
      <c r="C29" s="31">
        <f t="shared" ref="C29:F29" si="1">MAX(C6:C27)</f>
        <v>156.4</v>
      </c>
      <c r="D29" s="31">
        <f t="shared" si="1"/>
        <v>93.1</v>
      </c>
      <c r="E29" s="31">
        <f t="shared" si="1"/>
        <v>188.1</v>
      </c>
      <c r="F29" s="31">
        <f t="shared" si="1"/>
        <v>93.1</v>
      </c>
    </row>
    <row r="30" spans="1:6" ht="15" x14ac:dyDescent="0.25">
      <c r="A30" s="18" t="s">
        <v>83</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30" zoomScale="80" zoomScaleNormal="80" workbookViewId="0">
      <selection activeCell="K47" sqref="K47"/>
    </sheetView>
  </sheetViews>
  <sheetFormatPr defaultColWidth="11" defaultRowHeight="15" x14ac:dyDescent="0.25"/>
  <cols>
    <col min="1" max="1" width="39.83203125" style="1" bestFit="1" customWidth="1"/>
    <col min="2" max="2" width="27.6640625" style="1" customWidth="1"/>
    <col min="3" max="16384" width="11" style="1"/>
  </cols>
  <sheetData>
    <row r="1" spans="1:10" s="41" customFormat="1" ht="21" x14ac:dyDescent="0.35">
      <c r="A1" s="42" t="s">
        <v>55</v>
      </c>
      <c r="B1" s="41" t="s">
        <v>173</v>
      </c>
    </row>
    <row r="2" spans="1:10" customFormat="1" ht="12.75" x14ac:dyDescent="0.2"/>
    <row r="3" spans="1:10" s="2" customFormat="1" x14ac:dyDescent="0.25">
      <c r="B3" s="1"/>
    </row>
    <row r="4" spans="1:10" s="2" customFormat="1" x14ac:dyDescent="0.25">
      <c r="B4" s="1" t="s">
        <v>150</v>
      </c>
    </row>
    <row r="5" spans="1:10" ht="18.75" x14ac:dyDescent="0.3">
      <c r="A5" s="43" t="s">
        <v>52</v>
      </c>
      <c r="B5" s="40" t="s">
        <v>180</v>
      </c>
    </row>
    <row r="6" spans="1:10" ht="409.5" x14ac:dyDescent="0.3">
      <c r="A6" s="43" t="s">
        <v>152</v>
      </c>
      <c r="B6" s="45" t="s">
        <v>181</v>
      </c>
    </row>
    <row r="7" spans="1:10" ht="18.75" x14ac:dyDescent="0.3">
      <c r="A7" s="43"/>
      <c r="B7" s="40"/>
    </row>
    <row r="9" spans="1:10" ht="23.25" x14ac:dyDescent="0.35">
      <c r="A9" s="17" t="s">
        <v>164</v>
      </c>
      <c r="I9" s="2"/>
      <c r="J9" s="2"/>
    </row>
    <row r="10" spans="1:10" x14ac:dyDescent="0.25">
      <c r="A10" s="33" t="s">
        <v>101</v>
      </c>
      <c r="B10" s="16" t="s">
        <v>48</v>
      </c>
      <c r="C10" s="16" t="s">
        <v>49</v>
      </c>
      <c r="D10" s="16" t="s">
        <v>50</v>
      </c>
      <c r="E10" s="16" t="s">
        <v>51</v>
      </c>
      <c r="F10" s="16" t="s">
        <v>53</v>
      </c>
      <c r="I10" s="2"/>
      <c r="J10" s="2"/>
    </row>
    <row r="11" spans="1:10" x14ac:dyDescent="0.25">
      <c r="A11" s="9" t="s">
        <v>120</v>
      </c>
      <c r="B11" s="12">
        <v>20000</v>
      </c>
      <c r="C11" s="12" t="s">
        <v>5</v>
      </c>
      <c r="D11" s="12">
        <v>0</v>
      </c>
      <c r="E11" s="10" t="s">
        <v>6</v>
      </c>
      <c r="F11" s="10">
        <v>24</v>
      </c>
      <c r="I11" s="2"/>
      <c r="J11" s="2"/>
    </row>
    <row r="13" spans="1:10" x14ac:dyDescent="0.25">
      <c r="A13" s="1" cm="1">
        <f t="array" aca="1" ref="A13" ca="1">A13:G32</f>
        <v>0</v>
      </c>
    </row>
    <row r="14" spans="1:10" ht="23.25" x14ac:dyDescent="0.35">
      <c r="A14" s="17" t="s">
        <v>161</v>
      </c>
    </row>
    <row r="15" spans="1:10" x14ac:dyDescent="0.25">
      <c r="A15" s="13" t="s">
        <v>102</v>
      </c>
      <c r="B15" s="16" t="s">
        <v>48</v>
      </c>
      <c r="C15" s="14" t="s">
        <v>49</v>
      </c>
      <c r="D15" s="16" t="s">
        <v>50</v>
      </c>
      <c r="E15" s="14" t="s">
        <v>51</v>
      </c>
      <c r="F15" s="16" t="s">
        <v>53</v>
      </c>
    </row>
    <row r="16" spans="1:10" x14ac:dyDescent="0.25">
      <c r="A16" s="7" t="s">
        <v>120</v>
      </c>
      <c r="B16" s="11" t="str">
        <f>TRIM(MID(SUBSTITUTE(A16, "-", REPT(" ", LEN(A16))), 1, LEN(A16)))</f>
        <v>20000</v>
      </c>
      <c r="C16" s="1" t="str">
        <f>TRIM(MID(SUBSTITUTE(A16, "-", REPT(" ", LEN(A16))), LEN(A16)+2, LEN(A16)))</f>
        <v>Monday</v>
      </c>
      <c r="D16" s="11" t="str">
        <f>TRIM(MID(SUBSTITUTE(A16, "-", REPT(" ", LEN(A16))), LEN(A16)*2+3, LEN(A16)))</f>
        <v>0</v>
      </c>
      <c r="E16" s="1" t="str">
        <f>TRIM(MID(SUBSTITUTE(A16, "-", REPT(" ", LEN(A16))), LEN(A16)*3+4, LEN(A16)))</f>
        <v>Sunday</v>
      </c>
      <c r="F16" s="11" t="str">
        <f>TRIM(MID(SUBSTITUTE(A16, "-", REPT(" ", LEN(A16))), LEN(A16)*4+5, LEN(A16)))</f>
        <v>24</v>
      </c>
    </row>
    <row r="17" spans="1:6" x14ac:dyDescent="0.25">
      <c r="A17" s="7" t="s">
        <v>121</v>
      </c>
      <c r="B17" s="11" t="str">
        <f t="shared" ref="B17:B54" si="0">TRIM(MID(SUBSTITUTE(A17, "-", REPT(" ", LEN(A17))), 1, LEN(A17)))</f>
        <v>20002</v>
      </c>
      <c r="C17" s="1" t="str">
        <f t="shared" ref="C17:C54" si="1">TRIM(MID(SUBSTITUTE(A17, "-", REPT(" ", LEN(A17))), LEN(A17)+2, LEN(A17)))</f>
        <v>Monday</v>
      </c>
      <c r="D17" s="11" t="str">
        <f t="shared" ref="D17:D54" si="2">TRIM(MID(SUBSTITUTE(A17, "-", REPT(" ", LEN(A17))), LEN(A17)*2+3, LEN(A17)))</f>
        <v>0</v>
      </c>
      <c r="E17" s="1" t="str">
        <f t="shared" ref="E17:E54" si="3">TRIM(MID(SUBSTITUTE(A17, "-", REPT(" ", LEN(A17))), LEN(A17)*3+4, LEN(A17)))</f>
        <v>Sunday</v>
      </c>
      <c r="F17" s="11" t="str">
        <f t="shared" ref="F17:F54" si="4">TRIM(MID(SUBSTITUTE(A17, "-", REPT(" ", LEN(A17))), LEN(A17)*4+5, LEN(A17)))</f>
        <v>24</v>
      </c>
    </row>
    <row r="18" spans="1:6" x14ac:dyDescent="0.25">
      <c r="A18" s="7" t="s">
        <v>122</v>
      </c>
      <c r="B18" s="11" t="str">
        <f t="shared" si="0"/>
        <v>20004</v>
      </c>
      <c r="C18" s="1" t="str">
        <f t="shared" si="1"/>
        <v>Monday</v>
      </c>
      <c r="D18" s="11" t="str">
        <f t="shared" si="2"/>
        <v>0</v>
      </c>
      <c r="E18" s="1" t="str">
        <f t="shared" si="3"/>
        <v>Sunday</v>
      </c>
      <c r="F18" s="11" t="str">
        <f t="shared" si="4"/>
        <v>24</v>
      </c>
    </row>
    <row r="19" spans="1:6" x14ac:dyDescent="0.25">
      <c r="A19" s="7" t="s">
        <v>123</v>
      </c>
      <c r="B19" s="11" t="str">
        <f t="shared" si="0"/>
        <v>20006</v>
      </c>
      <c r="C19" s="1" t="str">
        <f t="shared" si="1"/>
        <v>Monday</v>
      </c>
      <c r="D19" s="11" t="str">
        <f t="shared" si="2"/>
        <v>0</v>
      </c>
      <c r="E19" s="1" t="str">
        <f t="shared" si="3"/>
        <v>Sunday</v>
      </c>
      <c r="F19" s="11" t="str">
        <f t="shared" si="4"/>
        <v>24</v>
      </c>
    </row>
    <row r="20" spans="1:6" x14ac:dyDescent="0.25">
      <c r="A20" s="7" t="s">
        <v>124</v>
      </c>
      <c r="B20" s="11" t="str">
        <f t="shared" si="0"/>
        <v>20008</v>
      </c>
      <c r="C20" s="1" t="str">
        <f t="shared" si="1"/>
        <v>Monday</v>
      </c>
      <c r="D20" s="11" t="str">
        <f t="shared" si="2"/>
        <v>0</v>
      </c>
      <c r="E20" s="1" t="str">
        <f t="shared" si="3"/>
        <v>Sunday</v>
      </c>
      <c r="F20" s="11" t="str">
        <f t="shared" si="4"/>
        <v>24</v>
      </c>
    </row>
    <row r="21" spans="1:6" x14ac:dyDescent="0.25">
      <c r="A21" s="7" t="s">
        <v>125</v>
      </c>
      <c r="B21" s="11" t="str">
        <f t="shared" si="0"/>
        <v>20010</v>
      </c>
      <c r="C21" s="1" t="str">
        <f t="shared" si="1"/>
        <v>Monday</v>
      </c>
      <c r="D21" s="11" t="str">
        <f t="shared" si="2"/>
        <v>0</v>
      </c>
      <c r="E21" s="1" t="str">
        <f t="shared" si="3"/>
        <v>Sunday</v>
      </c>
      <c r="F21" s="11" t="str">
        <f t="shared" si="4"/>
        <v>24</v>
      </c>
    </row>
    <row r="22" spans="1:6" x14ac:dyDescent="0.25">
      <c r="A22" s="7" t="s">
        <v>126</v>
      </c>
      <c r="B22" s="11" t="str">
        <f t="shared" si="0"/>
        <v>20012</v>
      </c>
      <c r="C22" s="1" t="str">
        <f t="shared" si="1"/>
        <v>Monday</v>
      </c>
      <c r="D22" s="11" t="str">
        <f t="shared" si="2"/>
        <v>0</v>
      </c>
      <c r="E22" s="1" t="str">
        <f t="shared" si="3"/>
        <v>Sunday</v>
      </c>
      <c r="F22" s="11" t="str">
        <f t="shared" si="4"/>
        <v>24</v>
      </c>
    </row>
    <row r="23" spans="1:6" x14ac:dyDescent="0.25">
      <c r="A23" s="7" t="s">
        <v>127</v>
      </c>
      <c r="B23" s="11" t="str">
        <f t="shared" si="0"/>
        <v>20014</v>
      </c>
      <c r="C23" s="1" t="str">
        <f t="shared" si="1"/>
        <v>Monday</v>
      </c>
      <c r="D23" s="11" t="str">
        <f t="shared" si="2"/>
        <v>0</v>
      </c>
      <c r="E23" s="1" t="str">
        <f t="shared" si="3"/>
        <v>Sunday</v>
      </c>
      <c r="F23" s="11" t="str">
        <f t="shared" si="4"/>
        <v>24</v>
      </c>
    </row>
    <row r="24" spans="1:6" x14ac:dyDescent="0.25">
      <c r="A24" s="7" t="s">
        <v>128</v>
      </c>
      <c r="B24" s="11" t="str">
        <f t="shared" si="0"/>
        <v>20016</v>
      </c>
      <c r="C24" s="1" t="str">
        <f t="shared" si="1"/>
        <v>Monday</v>
      </c>
      <c r="D24" s="11" t="str">
        <f t="shared" si="2"/>
        <v>0</v>
      </c>
      <c r="E24" s="1" t="str">
        <f t="shared" si="3"/>
        <v>Sunday</v>
      </c>
      <c r="F24" s="11" t="str">
        <f t="shared" si="4"/>
        <v>24</v>
      </c>
    </row>
    <row r="25" spans="1:6" x14ac:dyDescent="0.25">
      <c r="A25" s="7" t="s">
        <v>129</v>
      </c>
      <c r="B25" s="11" t="str">
        <f t="shared" si="0"/>
        <v>20018</v>
      </c>
      <c r="C25" s="1" t="str">
        <f t="shared" si="1"/>
        <v>Monday</v>
      </c>
      <c r="D25" s="11" t="str">
        <f t="shared" si="2"/>
        <v>0</v>
      </c>
      <c r="E25" s="1" t="str">
        <f t="shared" si="3"/>
        <v>Sunday</v>
      </c>
      <c r="F25" s="11" t="str">
        <f t="shared" si="4"/>
        <v>24</v>
      </c>
    </row>
    <row r="26" spans="1:6" x14ac:dyDescent="0.25">
      <c r="A26" s="7" t="s">
        <v>130</v>
      </c>
      <c r="B26" s="11" t="str">
        <f t="shared" si="0"/>
        <v>20020</v>
      </c>
      <c r="C26" s="1" t="str">
        <f t="shared" si="1"/>
        <v>Monday</v>
      </c>
      <c r="D26" s="11" t="str">
        <f t="shared" si="2"/>
        <v>0</v>
      </c>
      <c r="E26" s="1" t="str">
        <f t="shared" si="3"/>
        <v>Sunday</v>
      </c>
      <c r="F26" s="11" t="str">
        <f t="shared" si="4"/>
        <v>24</v>
      </c>
    </row>
    <row r="27" spans="1:6" x14ac:dyDescent="0.25">
      <c r="A27" s="7" t="s">
        <v>131</v>
      </c>
      <c r="B27" s="11" t="str">
        <f t="shared" si="0"/>
        <v>20022</v>
      </c>
      <c r="C27" s="1" t="str">
        <f t="shared" si="1"/>
        <v>Monday</v>
      </c>
      <c r="D27" s="11" t="str">
        <f t="shared" si="2"/>
        <v>0</v>
      </c>
      <c r="E27" s="1" t="str">
        <f t="shared" si="3"/>
        <v>Sunday</v>
      </c>
      <c r="F27" s="11" t="str">
        <f t="shared" si="4"/>
        <v>24</v>
      </c>
    </row>
    <row r="28" spans="1:6" x14ac:dyDescent="0.25">
      <c r="A28" s="7" t="s">
        <v>132</v>
      </c>
      <c r="B28" s="11" t="str">
        <f t="shared" si="0"/>
        <v>20024</v>
      </c>
      <c r="C28" s="1" t="str">
        <f t="shared" si="1"/>
        <v>Monday</v>
      </c>
      <c r="D28" s="11" t="str">
        <f t="shared" si="2"/>
        <v>0</v>
      </c>
      <c r="E28" s="1" t="str">
        <f t="shared" si="3"/>
        <v>Sunday</v>
      </c>
      <c r="F28" s="11" t="str">
        <f t="shared" si="4"/>
        <v>24</v>
      </c>
    </row>
    <row r="29" spans="1:6" x14ac:dyDescent="0.25">
      <c r="A29" s="7" t="s">
        <v>133</v>
      </c>
      <c r="B29" s="11" t="str">
        <f t="shared" si="0"/>
        <v>20026</v>
      </c>
      <c r="C29" s="1" t="str">
        <f t="shared" si="1"/>
        <v>Monday</v>
      </c>
      <c r="D29" s="11" t="str">
        <f t="shared" si="2"/>
        <v>0</v>
      </c>
      <c r="E29" s="1" t="str">
        <f t="shared" si="3"/>
        <v>Sunday</v>
      </c>
      <c r="F29" s="11" t="str">
        <f t="shared" si="4"/>
        <v>24</v>
      </c>
    </row>
    <row r="30" spans="1:6" x14ac:dyDescent="0.25">
      <c r="A30" s="7" t="s">
        <v>134</v>
      </c>
      <c r="B30" s="11" t="str">
        <f t="shared" si="0"/>
        <v>20028</v>
      </c>
      <c r="C30" s="1" t="str">
        <f t="shared" si="1"/>
        <v>Monday</v>
      </c>
      <c r="D30" s="11" t="str">
        <f t="shared" si="2"/>
        <v>0</v>
      </c>
      <c r="E30" s="1" t="str">
        <f t="shared" si="3"/>
        <v>Sunday</v>
      </c>
      <c r="F30" s="11" t="str">
        <f t="shared" si="4"/>
        <v>24</v>
      </c>
    </row>
    <row r="31" spans="1:6" x14ac:dyDescent="0.25">
      <c r="A31" s="7" t="s">
        <v>135</v>
      </c>
      <c r="B31" s="11" t="str">
        <f t="shared" si="0"/>
        <v>20030</v>
      </c>
      <c r="C31" s="1" t="str">
        <f t="shared" si="1"/>
        <v>Monday</v>
      </c>
      <c r="D31" s="11" t="str">
        <f t="shared" si="2"/>
        <v>0</v>
      </c>
      <c r="E31" s="1" t="str">
        <f t="shared" si="3"/>
        <v>Sunday</v>
      </c>
      <c r="F31" s="11" t="str">
        <f t="shared" si="4"/>
        <v>24</v>
      </c>
    </row>
    <row r="32" spans="1:6" x14ac:dyDescent="0.25">
      <c r="A32" s="7" t="s">
        <v>136</v>
      </c>
      <c r="B32" s="11" t="str">
        <f t="shared" si="0"/>
        <v>20032</v>
      </c>
      <c r="C32" s="1" t="str">
        <f t="shared" si="1"/>
        <v>Monday</v>
      </c>
      <c r="D32" s="11" t="str">
        <f t="shared" si="2"/>
        <v>0</v>
      </c>
      <c r="E32" s="1" t="str">
        <f t="shared" si="3"/>
        <v>Sunday</v>
      </c>
      <c r="F32" s="11" t="str">
        <f t="shared" si="4"/>
        <v>24</v>
      </c>
    </row>
    <row r="33" spans="1:6" x14ac:dyDescent="0.25">
      <c r="A33" s="7" t="s">
        <v>137</v>
      </c>
      <c r="B33" s="11" t="str">
        <f t="shared" si="0"/>
        <v>20034</v>
      </c>
      <c r="C33" s="1" t="str">
        <f t="shared" si="1"/>
        <v>Monday</v>
      </c>
      <c r="D33" s="11" t="str">
        <f t="shared" si="2"/>
        <v>0</v>
      </c>
      <c r="E33" s="1" t="str">
        <f t="shared" si="3"/>
        <v>Sunday</v>
      </c>
      <c r="F33" s="11" t="str">
        <f t="shared" si="4"/>
        <v>24</v>
      </c>
    </row>
    <row r="34" spans="1:6" x14ac:dyDescent="0.25">
      <c r="A34" s="7" t="s">
        <v>138</v>
      </c>
      <c r="B34" s="11" t="str">
        <f t="shared" si="0"/>
        <v>20036</v>
      </c>
      <c r="C34" s="1" t="str">
        <f t="shared" si="1"/>
        <v>Monday</v>
      </c>
      <c r="D34" s="11" t="str">
        <f t="shared" si="2"/>
        <v>0</v>
      </c>
      <c r="E34" s="1" t="str">
        <f t="shared" si="3"/>
        <v>Sunday</v>
      </c>
      <c r="F34" s="11" t="str">
        <f t="shared" si="4"/>
        <v>24</v>
      </c>
    </row>
    <row r="35" spans="1:6" x14ac:dyDescent="0.25">
      <c r="A35" s="7" t="s">
        <v>139</v>
      </c>
      <c r="B35" s="11" t="str">
        <f t="shared" si="0"/>
        <v>20038</v>
      </c>
      <c r="C35" s="1" t="str">
        <f t="shared" si="1"/>
        <v>Monday</v>
      </c>
      <c r="D35" s="11" t="str">
        <f t="shared" si="2"/>
        <v>0</v>
      </c>
      <c r="E35" s="1" t="str">
        <f t="shared" si="3"/>
        <v>Sunday</v>
      </c>
      <c r="F35" s="11" t="str">
        <f t="shared" si="4"/>
        <v>24</v>
      </c>
    </row>
    <row r="36" spans="1:6" x14ac:dyDescent="0.25">
      <c r="A36" s="7" t="s">
        <v>140</v>
      </c>
      <c r="B36" s="11" t="str">
        <f t="shared" si="0"/>
        <v>20040</v>
      </c>
      <c r="C36" s="1" t="str">
        <f t="shared" si="1"/>
        <v>Monday</v>
      </c>
      <c r="D36" s="11" t="str">
        <f t="shared" si="2"/>
        <v>0</v>
      </c>
      <c r="E36" s="1" t="str">
        <f t="shared" si="3"/>
        <v>Sunday</v>
      </c>
      <c r="F36" s="11" t="str">
        <f t="shared" si="4"/>
        <v>24</v>
      </c>
    </row>
    <row r="37" spans="1:6" x14ac:dyDescent="0.25">
      <c r="A37" s="7" t="s">
        <v>141</v>
      </c>
      <c r="B37" s="11" t="str">
        <f t="shared" si="0"/>
        <v>20042</v>
      </c>
      <c r="C37" s="1" t="str">
        <f t="shared" si="1"/>
        <v>Monday</v>
      </c>
      <c r="D37" s="11" t="str">
        <f t="shared" si="2"/>
        <v>0</v>
      </c>
      <c r="E37" s="1" t="str">
        <f t="shared" si="3"/>
        <v>Sunday</v>
      </c>
      <c r="F37" s="11" t="str">
        <f t="shared" si="4"/>
        <v>24</v>
      </c>
    </row>
    <row r="38" spans="1:6" x14ac:dyDescent="0.25">
      <c r="A38" s="7" t="s">
        <v>142</v>
      </c>
      <c r="B38" s="11" t="str">
        <f t="shared" si="0"/>
        <v>20044</v>
      </c>
      <c r="C38" s="1" t="str">
        <f t="shared" si="1"/>
        <v>Monday</v>
      </c>
      <c r="D38" s="11" t="str">
        <f t="shared" si="2"/>
        <v>0</v>
      </c>
      <c r="E38" s="1" t="str">
        <f t="shared" si="3"/>
        <v>Sunday</v>
      </c>
      <c r="F38" s="11" t="str">
        <f t="shared" si="4"/>
        <v>24</v>
      </c>
    </row>
    <row r="39" spans="1:6" x14ac:dyDescent="0.25">
      <c r="A39" s="7" t="s">
        <v>143</v>
      </c>
      <c r="B39" s="11" t="str">
        <f t="shared" si="0"/>
        <v>20046</v>
      </c>
      <c r="C39" s="1" t="str">
        <f t="shared" si="1"/>
        <v>Monday</v>
      </c>
      <c r="D39" s="11" t="str">
        <f t="shared" si="2"/>
        <v>0</v>
      </c>
      <c r="E39" s="1" t="str">
        <f t="shared" si="3"/>
        <v>Sunday</v>
      </c>
      <c r="F39" s="11" t="str">
        <f t="shared" si="4"/>
        <v>24</v>
      </c>
    </row>
    <row r="40" spans="1:6" x14ac:dyDescent="0.25">
      <c r="A40" s="7" t="s">
        <v>144</v>
      </c>
      <c r="B40" s="11" t="str">
        <f t="shared" si="0"/>
        <v>20048</v>
      </c>
      <c r="C40" s="1" t="str">
        <f t="shared" si="1"/>
        <v>Monday</v>
      </c>
      <c r="D40" s="11" t="str">
        <f t="shared" si="2"/>
        <v>0</v>
      </c>
      <c r="E40" s="1" t="str">
        <f t="shared" si="3"/>
        <v>Sunday</v>
      </c>
      <c r="F40" s="11" t="str">
        <f t="shared" si="4"/>
        <v>24</v>
      </c>
    </row>
    <row r="41" spans="1:6" x14ac:dyDescent="0.25">
      <c r="A41" s="7" t="s">
        <v>145</v>
      </c>
      <c r="B41" s="11" t="str">
        <f t="shared" si="0"/>
        <v>20050</v>
      </c>
      <c r="C41" s="1" t="str">
        <f t="shared" si="1"/>
        <v>Monday</v>
      </c>
      <c r="D41" s="11" t="str">
        <f t="shared" si="2"/>
        <v>0</v>
      </c>
      <c r="E41" s="1" t="str">
        <f t="shared" si="3"/>
        <v>Sunday</v>
      </c>
      <c r="F41" s="11" t="str">
        <f t="shared" si="4"/>
        <v>24</v>
      </c>
    </row>
    <row r="42" spans="1:6" x14ac:dyDescent="0.25">
      <c r="A42" s="7" t="s">
        <v>146</v>
      </c>
      <c r="B42" s="11" t="str">
        <f t="shared" si="0"/>
        <v>20052</v>
      </c>
      <c r="C42" s="1" t="str">
        <f t="shared" si="1"/>
        <v>Monday</v>
      </c>
      <c r="D42" s="11" t="str">
        <f t="shared" si="2"/>
        <v>0</v>
      </c>
      <c r="E42" s="1" t="str">
        <f t="shared" si="3"/>
        <v>Sunday</v>
      </c>
      <c r="F42" s="11" t="str">
        <f t="shared" si="4"/>
        <v>24</v>
      </c>
    </row>
    <row r="43" spans="1:6" x14ac:dyDescent="0.25">
      <c r="A43" s="7" t="s">
        <v>147</v>
      </c>
      <c r="B43" s="11" t="str">
        <f t="shared" si="0"/>
        <v>20054</v>
      </c>
      <c r="C43" s="1" t="str">
        <f t="shared" si="1"/>
        <v>Monday</v>
      </c>
      <c r="D43" s="11" t="str">
        <f t="shared" si="2"/>
        <v>0</v>
      </c>
      <c r="E43" s="1" t="str">
        <f t="shared" si="3"/>
        <v>Sunday</v>
      </c>
      <c r="F43" s="11" t="str">
        <f t="shared" si="4"/>
        <v>24</v>
      </c>
    </row>
    <row r="44" spans="1:6" x14ac:dyDescent="0.25">
      <c r="A44" s="7" t="s">
        <v>148</v>
      </c>
      <c r="B44" s="11" t="str">
        <f t="shared" si="0"/>
        <v>20058</v>
      </c>
      <c r="C44" s="1" t="str">
        <f t="shared" si="1"/>
        <v>Monday</v>
      </c>
      <c r="D44" s="11" t="str">
        <f t="shared" si="2"/>
        <v>0</v>
      </c>
      <c r="E44" s="1" t="str">
        <f t="shared" si="3"/>
        <v>Sunday</v>
      </c>
      <c r="F44" s="11" t="str">
        <f t="shared" si="4"/>
        <v>24</v>
      </c>
    </row>
    <row r="45" spans="1:6" x14ac:dyDescent="0.25">
      <c r="A45" s="7" t="s">
        <v>149</v>
      </c>
      <c r="B45" s="11" t="str">
        <f t="shared" si="0"/>
        <v>20060</v>
      </c>
      <c r="C45" s="1" t="str">
        <f t="shared" si="1"/>
        <v>Monday</v>
      </c>
      <c r="D45" s="11" t="str">
        <f t="shared" si="2"/>
        <v>0</v>
      </c>
      <c r="E45" s="1" t="str">
        <f t="shared" si="3"/>
        <v>Sunday</v>
      </c>
      <c r="F45" s="11" t="str">
        <f t="shared" si="4"/>
        <v>24</v>
      </c>
    </row>
    <row r="46" spans="1:6" x14ac:dyDescent="0.25">
      <c r="A46" s="7" t="s">
        <v>111</v>
      </c>
      <c r="B46" s="11" t="str">
        <f t="shared" si="0"/>
        <v>21000</v>
      </c>
      <c r="C46" s="1" t="str">
        <f t="shared" si="1"/>
        <v>Monday</v>
      </c>
      <c r="D46" s="11" t="str">
        <f t="shared" si="2"/>
        <v>0</v>
      </c>
      <c r="E46" s="1" t="str">
        <f t="shared" si="3"/>
        <v>Sunday</v>
      </c>
      <c r="F46" s="11" t="str">
        <f t="shared" si="4"/>
        <v>24</v>
      </c>
    </row>
    <row r="47" spans="1:6" x14ac:dyDescent="0.25">
      <c r="A47" s="7" t="s">
        <v>112</v>
      </c>
      <c r="B47" s="11" t="str">
        <f t="shared" si="0"/>
        <v>21002</v>
      </c>
      <c r="C47" s="1" t="str">
        <f t="shared" si="1"/>
        <v>Monday</v>
      </c>
      <c r="D47" s="11" t="str">
        <f t="shared" si="2"/>
        <v>0</v>
      </c>
      <c r="E47" s="1" t="str">
        <f t="shared" si="3"/>
        <v>Sunday</v>
      </c>
      <c r="F47" s="11" t="str">
        <f t="shared" si="4"/>
        <v>24</v>
      </c>
    </row>
    <row r="48" spans="1:6" x14ac:dyDescent="0.25">
      <c r="A48" s="7" t="s">
        <v>113</v>
      </c>
      <c r="B48" s="11" t="str">
        <f t="shared" si="0"/>
        <v>21004</v>
      </c>
      <c r="C48" s="1" t="str">
        <f t="shared" si="1"/>
        <v>Monday</v>
      </c>
      <c r="D48" s="11" t="str">
        <f t="shared" si="2"/>
        <v>0</v>
      </c>
      <c r="E48" s="1" t="str">
        <f t="shared" si="3"/>
        <v>Sunday</v>
      </c>
      <c r="F48" s="11" t="str">
        <f t="shared" si="4"/>
        <v>24</v>
      </c>
    </row>
    <row r="49" spans="1:6" x14ac:dyDescent="0.25">
      <c r="A49" s="7" t="s">
        <v>114</v>
      </c>
      <c r="B49" s="11" t="str">
        <f t="shared" si="0"/>
        <v>21006</v>
      </c>
      <c r="C49" s="1" t="str">
        <f t="shared" si="1"/>
        <v>Monday</v>
      </c>
      <c r="D49" s="11" t="str">
        <f t="shared" si="2"/>
        <v>0</v>
      </c>
      <c r="E49" s="1" t="str">
        <f t="shared" si="3"/>
        <v>Sunday</v>
      </c>
      <c r="F49" s="11" t="str">
        <f t="shared" si="4"/>
        <v>24</v>
      </c>
    </row>
    <row r="50" spans="1:6" x14ac:dyDescent="0.25">
      <c r="A50" s="7" t="s">
        <v>115</v>
      </c>
      <c r="B50" s="11" t="str">
        <f t="shared" si="0"/>
        <v>21008</v>
      </c>
      <c r="C50" s="1" t="str">
        <f t="shared" si="1"/>
        <v>Monday</v>
      </c>
      <c r="D50" s="11" t="str">
        <f t="shared" si="2"/>
        <v>0</v>
      </c>
      <c r="E50" s="1" t="str">
        <f t="shared" si="3"/>
        <v>Sunday</v>
      </c>
      <c r="F50" s="11" t="str">
        <f t="shared" si="4"/>
        <v>24</v>
      </c>
    </row>
    <row r="51" spans="1:6" x14ac:dyDescent="0.25">
      <c r="A51" s="7" t="s">
        <v>116</v>
      </c>
      <c r="B51" s="11" t="str">
        <f t="shared" si="0"/>
        <v>21010</v>
      </c>
      <c r="C51" s="1" t="str">
        <f t="shared" si="1"/>
        <v>Monday</v>
      </c>
      <c r="D51" s="11" t="str">
        <f t="shared" si="2"/>
        <v>0</v>
      </c>
      <c r="E51" s="1" t="str">
        <f t="shared" si="3"/>
        <v>Sunday</v>
      </c>
      <c r="F51" s="11" t="str">
        <f t="shared" si="4"/>
        <v>24</v>
      </c>
    </row>
    <row r="52" spans="1:6" x14ac:dyDescent="0.25">
      <c r="A52" s="7" t="s">
        <v>117</v>
      </c>
      <c r="B52" s="11" t="str">
        <f t="shared" si="0"/>
        <v>21012</v>
      </c>
      <c r="C52" s="1" t="str">
        <f t="shared" si="1"/>
        <v>Monday</v>
      </c>
      <c r="D52" s="11" t="str">
        <f t="shared" si="2"/>
        <v>0</v>
      </c>
      <c r="E52" s="1" t="str">
        <f t="shared" si="3"/>
        <v>Sunday</v>
      </c>
      <c r="F52" s="11" t="str">
        <f t="shared" si="4"/>
        <v>24</v>
      </c>
    </row>
    <row r="53" spans="1:6" x14ac:dyDescent="0.25">
      <c r="A53" s="7" t="s">
        <v>118</v>
      </c>
      <c r="B53" s="11" t="str">
        <f t="shared" si="0"/>
        <v>21014</v>
      </c>
      <c r="C53" s="1" t="str">
        <f t="shared" si="1"/>
        <v>Monday</v>
      </c>
      <c r="D53" s="11" t="str">
        <f t="shared" si="2"/>
        <v>0</v>
      </c>
      <c r="E53" s="1" t="str">
        <f t="shared" si="3"/>
        <v>Sunday</v>
      </c>
      <c r="F53" s="11" t="str">
        <f t="shared" si="4"/>
        <v>24</v>
      </c>
    </row>
    <row r="54" spans="1:6" x14ac:dyDescent="0.25">
      <c r="A54" s="9" t="s">
        <v>119</v>
      </c>
      <c r="B54" s="12" t="str">
        <f t="shared" si="0"/>
        <v>21016</v>
      </c>
      <c r="C54" s="12" t="str">
        <f t="shared" si="1"/>
        <v>Monday</v>
      </c>
      <c r="D54" s="12" t="str">
        <f t="shared" si="2"/>
        <v>0</v>
      </c>
      <c r="E54" s="12" t="str">
        <f t="shared" si="3"/>
        <v>Sunday</v>
      </c>
      <c r="F54" s="12"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8" zoomScale="85" zoomScaleNormal="85" workbookViewId="0">
      <selection activeCell="F27" sqref="F27"/>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x14ac:dyDescent="0.35">
      <c r="A1" s="42" t="s">
        <v>84</v>
      </c>
      <c r="B1" s="41" t="s">
        <v>166</v>
      </c>
    </row>
    <row r="2" spans="1:3" ht="18.75" x14ac:dyDescent="0.3">
      <c r="B2" s="40" t="s">
        <v>165</v>
      </c>
    </row>
    <row r="5" spans="1:3" ht="15" x14ac:dyDescent="0.25">
      <c r="B5" s="1" t="s">
        <v>150</v>
      </c>
    </row>
    <row r="6" spans="1:3" ht="15" x14ac:dyDescent="0.25">
      <c r="A6" s="3" t="s">
        <v>52</v>
      </c>
      <c r="B6" s="1" t="s">
        <v>182</v>
      </c>
    </row>
    <row r="7" spans="1:3" ht="409.5" x14ac:dyDescent="0.25">
      <c r="A7" s="3" t="s">
        <v>152</v>
      </c>
      <c r="B7" s="46" t="s">
        <v>183</v>
      </c>
    </row>
    <row r="10" spans="1:3" ht="23.25" x14ac:dyDescent="0.35">
      <c r="A10" s="17" t="s">
        <v>161</v>
      </c>
    </row>
    <row r="11" spans="1:3" ht="15" x14ac:dyDescent="0.25">
      <c r="A11" s="32" t="s">
        <v>85</v>
      </c>
      <c r="B11" s="16" t="s">
        <v>86</v>
      </c>
      <c r="C11" s="16" t="s">
        <v>87</v>
      </c>
    </row>
    <row r="12" spans="1:3" ht="15" x14ac:dyDescent="0.25">
      <c r="A12" s="32">
        <v>44927</v>
      </c>
      <c r="B12" s="16" t="s">
        <v>58</v>
      </c>
      <c r="C12" s="16">
        <v>200</v>
      </c>
    </row>
    <row r="13" spans="1:3" ht="15" x14ac:dyDescent="0.25">
      <c r="A13" s="32">
        <v>44928</v>
      </c>
      <c r="B13" s="16" t="s">
        <v>59</v>
      </c>
      <c r="C13" s="16" t="e">
        <v>#N/A</v>
      </c>
    </row>
    <row r="14" spans="1:3" ht="15" x14ac:dyDescent="0.25">
      <c r="A14" s="32">
        <v>44929</v>
      </c>
      <c r="B14" s="16" t="s">
        <v>60</v>
      </c>
      <c r="C14" s="16">
        <v>50</v>
      </c>
    </row>
    <row r="15" spans="1:3" ht="15" x14ac:dyDescent="0.25">
      <c r="A15" s="32">
        <v>44930</v>
      </c>
      <c r="B15" s="16" t="s">
        <v>61</v>
      </c>
      <c r="C15" s="16" t="e">
        <v>#N/A</v>
      </c>
    </row>
    <row r="16" spans="1:3" ht="15" x14ac:dyDescent="0.25">
      <c r="A16" s="32">
        <v>44931</v>
      </c>
      <c r="B16" s="16" t="s">
        <v>62</v>
      </c>
      <c r="C16" s="16">
        <v>10</v>
      </c>
    </row>
    <row r="17" spans="1:3" ht="15" x14ac:dyDescent="0.25">
      <c r="A17" s="32">
        <v>44932</v>
      </c>
      <c r="B17" s="16" t="s">
        <v>153</v>
      </c>
      <c r="C17" s="16">
        <v>150</v>
      </c>
    </row>
    <row r="18" spans="1:3" ht="15" x14ac:dyDescent="0.25">
      <c r="A18" s="32">
        <v>44933</v>
      </c>
      <c r="B18" s="16" t="s">
        <v>154</v>
      </c>
      <c r="C18" s="16">
        <v>80</v>
      </c>
    </row>
    <row r="19" spans="1:3" ht="15" x14ac:dyDescent="0.25">
      <c r="A19" s="32">
        <v>44934</v>
      </c>
      <c r="B19" s="16" t="s">
        <v>155</v>
      </c>
      <c r="C19" s="16" t="e">
        <v>#N/A</v>
      </c>
    </row>
    <row r="20" spans="1:3" ht="15" x14ac:dyDescent="0.25">
      <c r="A20" s="32">
        <v>44935</v>
      </c>
      <c r="B20" s="16" t="s">
        <v>156</v>
      </c>
      <c r="C20" s="16">
        <v>30</v>
      </c>
    </row>
    <row r="21" spans="1:3" ht="15" x14ac:dyDescent="0.25">
      <c r="A21" s="32">
        <v>44936</v>
      </c>
      <c r="B21" s="16" t="s">
        <v>157</v>
      </c>
      <c r="C21" s="16" t="e">
        <v>#N/A</v>
      </c>
    </row>
    <row r="22" spans="1:3" ht="15" x14ac:dyDescent="0.25">
      <c r="B22" s="16" t="s">
        <v>158</v>
      </c>
      <c r="C22" s="24" cm="1">
        <f t="array" ref="C22">SUM(IF(ISERROR(C12:C21), 20, 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9" zoomScale="70" zoomScaleNormal="70" workbookViewId="0">
      <selection activeCell="M24" sqref="M24"/>
    </sheetView>
  </sheetViews>
  <sheetFormatPr defaultColWidth="11" defaultRowHeight="12.75" x14ac:dyDescent="0.2"/>
  <cols>
    <col min="1" max="1" width="28.1640625" style="2" bestFit="1" customWidth="1"/>
    <col min="2" max="16384" width="11" style="2"/>
  </cols>
  <sheetData>
    <row r="1" spans="1:14" ht="21" x14ac:dyDescent="0.35">
      <c r="A1" s="42" t="s">
        <v>97</v>
      </c>
      <c r="B1" s="41" t="s">
        <v>174</v>
      </c>
    </row>
    <row r="3" spans="1:14" ht="15" x14ac:dyDescent="0.25">
      <c r="B3" s="1" t="s">
        <v>150</v>
      </c>
    </row>
    <row r="4" spans="1:14" ht="18.75" x14ac:dyDescent="0.3">
      <c r="A4" s="43" t="s">
        <v>52</v>
      </c>
      <c r="B4" s="1"/>
      <c r="C4" s="2" t="s">
        <v>184</v>
      </c>
    </row>
    <row r="5" spans="1:14" ht="409.6" x14ac:dyDescent="0.3">
      <c r="A5" s="43" t="s">
        <v>152</v>
      </c>
      <c r="B5" s="46" t="s">
        <v>185</v>
      </c>
    </row>
    <row r="6" spans="1:14" ht="15" x14ac:dyDescent="0.25">
      <c r="A6" s="3"/>
      <c r="B6" s="1"/>
    </row>
    <row r="8" spans="1:14" ht="23.25" x14ac:dyDescent="0.35">
      <c r="A8" s="17" t="s">
        <v>161</v>
      </c>
      <c r="M8" s="17" t="s">
        <v>162</v>
      </c>
    </row>
    <row r="9" spans="1:14" ht="15" x14ac:dyDescent="0.25">
      <c r="A9" s="25"/>
      <c r="B9" s="25" t="s">
        <v>88</v>
      </c>
      <c r="C9" s="25" t="s">
        <v>89</v>
      </c>
      <c r="D9" s="25" t="s">
        <v>90</v>
      </c>
      <c r="E9" s="25" t="s">
        <v>91</v>
      </c>
      <c r="F9" s="25" t="s">
        <v>92</v>
      </c>
      <c r="G9" s="25" t="s">
        <v>93</v>
      </c>
      <c r="H9" s="25" t="s">
        <v>94</v>
      </c>
      <c r="I9" s="25" t="s">
        <v>95</v>
      </c>
      <c r="J9" s="25" t="s">
        <v>96</v>
      </c>
      <c r="M9" s="18" t="s">
        <v>43</v>
      </c>
      <c r="N9" s="18" t="s">
        <v>98</v>
      </c>
    </row>
    <row r="10" spans="1:14" ht="15" x14ac:dyDescent="0.25">
      <c r="A10" s="25" t="s">
        <v>88</v>
      </c>
      <c r="B10" s="24">
        <v>-1</v>
      </c>
      <c r="C10" s="24">
        <v>95</v>
      </c>
      <c r="D10" s="24">
        <v>-1</v>
      </c>
      <c r="E10" s="24">
        <v>185</v>
      </c>
      <c r="F10" s="24">
        <v>255</v>
      </c>
      <c r="G10" s="24">
        <v>305</v>
      </c>
      <c r="H10" s="24">
        <v>415</v>
      </c>
      <c r="I10" s="24">
        <v>480</v>
      </c>
      <c r="J10" s="24">
        <v>525</v>
      </c>
      <c r="M10" s="11">
        <v>10100</v>
      </c>
      <c r="N10" s="11" t="s">
        <v>88</v>
      </c>
    </row>
    <row r="11" spans="1:14" ht="15" x14ac:dyDescent="0.25">
      <c r="A11" s="25" t="s">
        <v>89</v>
      </c>
      <c r="B11" s="24">
        <v>95</v>
      </c>
      <c r="C11" s="24">
        <v>-1</v>
      </c>
      <c r="D11" s="24">
        <v>-1</v>
      </c>
      <c r="E11" s="24">
        <v>90</v>
      </c>
      <c r="F11" s="24">
        <v>160</v>
      </c>
      <c r="G11" s="24">
        <v>210</v>
      </c>
      <c r="H11" s="24">
        <v>325</v>
      </c>
      <c r="I11" s="24">
        <v>390</v>
      </c>
      <c r="J11" s="24">
        <v>430</v>
      </c>
      <c r="M11" s="11">
        <v>10102</v>
      </c>
      <c r="N11" s="11" t="s">
        <v>89</v>
      </c>
    </row>
    <row r="12" spans="1:14" ht="15" x14ac:dyDescent="0.25">
      <c r="A12" s="25" t="s">
        <v>90</v>
      </c>
      <c r="B12" s="24">
        <v>-1</v>
      </c>
      <c r="C12" s="24">
        <v>-1</v>
      </c>
      <c r="D12" s="24">
        <v>-1</v>
      </c>
      <c r="E12" s="24">
        <v>60</v>
      </c>
      <c r="F12" s="24">
        <v>130</v>
      </c>
      <c r="G12" s="24">
        <v>180</v>
      </c>
      <c r="H12" s="24">
        <v>295</v>
      </c>
      <c r="I12" s="24">
        <v>355</v>
      </c>
      <c r="J12" s="24">
        <v>400</v>
      </c>
      <c r="M12" s="11">
        <v>10104</v>
      </c>
      <c r="N12" s="11" t="s">
        <v>90</v>
      </c>
    </row>
    <row r="13" spans="1:14" ht="15" x14ac:dyDescent="0.25">
      <c r="A13" s="25" t="s">
        <v>91</v>
      </c>
      <c r="B13" s="24">
        <v>185</v>
      </c>
      <c r="C13" s="24">
        <v>90</v>
      </c>
      <c r="D13" s="24">
        <v>60</v>
      </c>
      <c r="E13" s="24">
        <v>-1</v>
      </c>
      <c r="F13" s="24">
        <v>70</v>
      </c>
      <c r="G13" s="24">
        <v>120</v>
      </c>
      <c r="H13" s="24">
        <v>235</v>
      </c>
      <c r="I13" s="24">
        <v>300</v>
      </c>
      <c r="J13" s="24">
        <v>340</v>
      </c>
      <c r="M13" s="11">
        <v>10106</v>
      </c>
      <c r="N13" s="11" t="s">
        <v>91</v>
      </c>
    </row>
    <row r="14" spans="1:14" ht="15" x14ac:dyDescent="0.25">
      <c r="A14" s="25" t="s">
        <v>92</v>
      </c>
      <c r="B14" s="24">
        <v>255</v>
      </c>
      <c r="C14" s="24">
        <v>160</v>
      </c>
      <c r="D14" s="24">
        <v>130</v>
      </c>
      <c r="E14" s="24">
        <v>70</v>
      </c>
      <c r="F14" s="24">
        <v>-1</v>
      </c>
      <c r="G14" s="24">
        <v>50</v>
      </c>
      <c r="H14" s="24">
        <v>165</v>
      </c>
      <c r="I14" s="24">
        <v>230</v>
      </c>
      <c r="J14" s="24">
        <v>270</v>
      </c>
      <c r="M14" s="11">
        <v>10108</v>
      </c>
      <c r="N14" s="11" t="s">
        <v>92</v>
      </c>
    </row>
    <row r="15" spans="1:14" ht="15" x14ac:dyDescent="0.25">
      <c r="A15" s="25" t="s">
        <v>93</v>
      </c>
      <c r="B15" s="24">
        <v>305</v>
      </c>
      <c r="C15" s="24">
        <v>210</v>
      </c>
      <c r="D15" s="24">
        <v>180</v>
      </c>
      <c r="E15" s="24">
        <v>120</v>
      </c>
      <c r="F15" s="24">
        <v>50</v>
      </c>
      <c r="G15" s="24">
        <v>-1</v>
      </c>
      <c r="H15" s="24">
        <v>115</v>
      </c>
      <c r="I15" s="24">
        <v>180</v>
      </c>
      <c r="J15" s="24">
        <v>220</v>
      </c>
      <c r="M15" s="11">
        <v>10110</v>
      </c>
      <c r="N15" s="11" t="s">
        <v>93</v>
      </c>
    </row>
    <row r="16" spans="1:14" ht="15" x14ac:dyDescent="0.25">
      <c r="A16" s="25" t="s">
        <v>94</v>
      </c>
      <c r="B16" s="24">
        <v>415</v>
      </c>
      <c r="C16" s="24">
        <v>325</v>
      </c>
      <c r="D16" s="24">
        <v>295</v>
      </c>
      <c r="E16" s="24">
        <v>235</v>
      </c>
      <c r="F16" s="24">
        <v>165</v>
      </c>
      <c r="G16" s="24">
        <v>115</v>
      </c>
      <c r="H16" s="24">
        <v>-1</v>
      </c>
      <c r="I16" s="24">
        <v>65</v>
      </c>
      <c r="J16" s="24">
        <v>105</v>
      </c>
      <c r="M16" s="11">
        <v>10112</v>
      </c>
      <c r="N16" s="11" t="s">
        <v>94</v>
      </c>
    </row>
    <row r="17" spans="1:14" ht="15" x14ac:dyDescent="0.25">
      <c r="A17" s="25" t="s">
        <v>95</v>
      </c>
      <c r="B17" s="24">
        <v>480</v>
      </c>
      <c r="C17" s="24">
        <v>390</v>
      </c>
      <c r="D17" s="24">
        <v>355</v>
      </c>
      <c r="E17" s="24">
        <v>300</v>
      </c>
      <c r="F17" s="24">
        <v>230</v>
      </c>
      <c r="G17" s="24">
        <v>180</v>
      </c>
      <c r="H17" s="24">
        <v>65</v>
      </c>
      <c r="I17" s="24">
        <v>-1</v>
      </c>
      <c r="J17" s="24">
        <v>40</v>
      </c>
      <c r="M17" s="11">
        <v>10114</v>
      </c>
      <c r="N17" s="11" t="s">
        <v>95</v>
      </c>
    </row>
    <row r="18" spans="1:14" ht="15" x14ac:dyDescent="0.25">
      <c r="A18" s="25" t="s">
        <v>96</v>
      </c>
      <c r="B18" s="24">
        <v>525</v>
      </c>
      <c r="C18" s="24">
        <v>430</v>
      </c>
      <c r="D18" s="24">
        <v>400</v>
      </c>
      <c r="E18" s="24">
        <v>340</v>
      </c>
      <c r="F18" s="24">
        <v>270</v>
      </c>
      <c r="G18" s="24">
        <v>220</v>
      </c>
      <c r="H18" s="24">
        <v>105</v>
      </c>
      <c r="I18" s="24">
        <v>40</v>
      </c>
      <c r="J18" s="24">
        <v>-1</v>
      </c>
      <c r="M18" s="12">
        <v>10116</v>
      </c>
      <c r="N18" s="12" t="s">
        <v>96</v>
      </c>
    </row>
    <row r="21" spans="1:14" ht="23.25" x14ac:dyDescent="0.35">
      <c r="A21" s="17" t="s">
        <v>167</v>
      </c>
    </row>
    <row r="22" spans="1:14" ht="15" x14ac:dyDescent="0.25">
      <c r="A22" s="13" t="s">
        <v>99</v>
      </c>
      <c r="B22" s="16" t="s">
        <v>100</v>
      </c>
      <c r="C22" s="15" t="s">
        <v>101</v>
      </c>
    </row>
    <row r="23" spans="1:14" ht="15" x14ac:dyDescent="0.25">
      <c r="A23" s="7">
        <v>10100</v>
      </c>
      <c r="B23" s="11">
        <v>10102</v>
      </c>
      <c r="C23" s="44">
        <f>INDEX($B$10:$J$18,MATCH(A23,$M$10:$M$18,0),MATCH(B23,$M$10:$M$18,0))</f>
        <v>95</v>
      </c>
    </row>
    <row r="24" spans="1:14" ht="15" x14ac:dyDescent="0.25">
      <c r="A24" s="7">
        <v>10100</v>
      </c>
      <c r="B24" s="11">
        <v>10104</v>
      </c>
      <c r="C24" s="44">
        <f t="shared" ref="C24:C35" si="0">INDEX($B$10:$J$18,MATCH(A24,$M$10:$M$18,0),MATCH(B24,$M$10:$M$18,0))</f>
        <v>-1</v>
      </c>
    </row>
    <row r="25" spans="1:14" ht="15" x14ac:dyDescent="0.25">
      <c r="A25" s="7">
        <v>10108</v>
      </c>
      <c r="B25" s="11">
        <v>10102</v>
      </c>
      <c r="C25" s="44">
        <f t="shared" si="0"/>
        <v>160</v>
      </c>
    </row>
    <row r="26" spans="1:14" ht="15" x14ac:dyDescent="0.25">
      <c r="A26" s="7">
        <v>10100</v>
      </c>
      <c r="B26" s="11">
        <v>10106</v>
      </c>
      <c r="C26" s="44">
        <f t="shared" si="0"/>
        <v>185</v>
      </c>
    </row>
    <row r="27" spans="1:14" ht="15" x14ac:dyDescent="0.25">
      <c r="A27" s="7">
        <v>10108</v>
      </c>
      <c r="B27" s="11">
        <v>10110</v>
      </c>
      <c r="C27" s="44">
        <f t="shared" si="0"/>
        <v>50</v>
      </c>
    </row>
    <row r="28" spans="1:14" ht="15" x14ac:dyDescent="0.25">
      <c r="A28" s="7">
        <v>10102</v>
      </c>
      <c r="B28" s="11">
        <v>10104</v>
      </c>
      <c r="C28" s="44">
        <f>INDEX($B$10:$J$18,MATCH(A28,$M$10:$M$18,0),MATCH(B28,$M$10:$M$18,0))</f>
        <v>-1</v>
      </c>
    </row>
    <row r="29" spans="1:14" ht="15" x14ac:dyDescent="0.25">
      <c r="A29" s="7">
        <v>10106</v>
      </c>
      <c r="B29" s="11">
        <v>10108</v>
      </c>
      <c r="C29" s="44">
        <f t="shared" si="0"/>
        <v>70</v>
      </c>
    </row>
    <row r="30" spans="1:14" ht="15" x14ac:dyDescent="0.25">
      <c r="A30" s="7">
        <v>10102</v>
      </c>
      <c r="B30" s="11">
        <v>10106</v>
      </c>
      <c r="C30" s="44">
        <f t="shared" si="0"/>
        <v>90</v>
      </c>
    </row>
    <row r="31" spans="1:14" ht="15" x14ac:dyDescent="0.25">
      <c r="A31" s="7">
        <v>10110</v>
      </c>
      <c r="B31" s="11">
        <v>10114</v>
      </c>
      <c r="C31" s="44">
        <f t="shared" si="0"/>
        <v>180</v>
      </c>
    </row>
    <row r="32" spans="1:14" ht="15" x14ac:dyDescent="0.25">
      <c r="A32" s="7">
        <v>10104</v>
      </c>
      <c r="B32" s="11">
        <v>10106</v>
      </c>
      <c r="C32" s="44">
        <f t="shared" si="0"/>
        <v>60</v>
      </c>
    </row>
    <row r="33" spans="1:3" ht="15" x14ac:dyDescent="0.25">
      <c r="A33" s="7">
        <v>10110</v>
      </c>
      <c r="B33" s="11">
        <v>10112</v>
      </c>
      <c r="C33" s="44">
        <f t="shared" si="0"/>
        <v>115</v>
      </c>
    </row>
    <row r="34" spans="1:3" ht="15" x14ac:dyDescent="0.25">
      <c r="A34" s="7">
        <v>10100</v>
      </c>
      <c r="B34" s="11">
        <v>10114</v>
      </c>
      <c r="C34" s="44">
        <f t="shared" si="0"/>
        <v>480</v>
      </c>
    </row>
    <row r="35" spans="1:3" ht="15" x14ac:dyDescent="0.25">
      <c r="A35" s="9">
        <v>10112</v>
      </c>
      <c r="B35" s="12">
        <v>10116</v>
      </c>
      <c r="C35" s="44">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Mohammed Anas</cp:lastModifiedBy>
  <dcterms:created xsi:type="dcterms:W3CDTF">2015-02-10T17:33:11Z</dcterms:created>
  <dcterms:modified xsi:type="dcterms:W3CDTF">2023-12-10T12:09:34Z</dcterms:modified>
</cp:coreProperties>
</file>